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 tabRatio="577" activeTab="7"/>
  </bookViews>
  <sheets>
    <sheet name="ENERO" sheetId="14" r:id="rId1"/>
    <sheet name="FEBRERO" sheetId="15" r:id="rId2"/>
    <sheet name="MARZO" sheetId="16" r:id="rId3"/>
    <sheet name="ABRIL" sheetId="18" r:id="rId4"/>
    <sheet name="MAYO" sheetId="19" r:id="rId5"/>
    <sheet name="JUNIO" sheetId="20" r:id="rId6"/>
    <sheet name="JULIO" sheetId="21" r:id="rId7"/>
    <sheet name="AGOSTO" sheetId="22" r:id="rId8"/>
  </sheets>
  <externalReferences>
    <externalReference r:id="rId9"/>
  </externalReferences>
  <definedNames>
    <definedName name="_xlnm._FilterDatabase" localSheetId="0" hidden="1">ENERO!$B$6:$N$266</definedName>
    <definedName name="_xlnm._FilterDatabase" localSheetId="1" hidden="1">FEBRERO!$B$6:$N$266</definedName>
    <definedName name="_xlnm._FilterDatabase" localSheetId="2" hidden="1">MARZO!$B$6:$N$270</definedName>
    <definedName name="_xlnm._FilterDatabase" localSheetId="3" hidden="1">ABRIL!$B$6:$N$264</definedName>
    <definedName name="_xlnm._FilterDatabase" localSheetId="4" hidden="1">MAYO!$B$6:$N$264</definedName>
    <definedName name="_xlnm._FilterDatabase" localSheetId="5" hidden="1">JUNIO!$B$6:$N$268</definedName>
    <definedName name="_xlnm._FilterDatabase" localSheetId="6" hidden="1">JULIO!$B$6:$N$267</definedName>
    <definedName name="_xlnm._FilterDatabase" localSheetId="7" hidden="1">AGOSTO!$B$6:$N$270</definedName>
    <definedName name="meses">[1]Hoja2!$A$1:$A$12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<sst xmlns="http://schemas.openxmlformats.org/spreadsheetml/2006/main" count="8188" uniqueCount="2765">
  <si>
    <t>LISTADO DE COBRANZAS BUILDING SYSTEMS PERU S.A.C.</t>
  </si>
  <si>
    <t>Mes</t>
  </si>
  <si>
    <t>Fecha</t>
  </si>
  <si>
    <t>Doc.</t>
  </si>
  <si>
    <t>Numero</t>
  </si>
  <si>
    <t>Monto</t>
  </si>
  <si>
    <t>Forma de Pago</t>
  </si>
  <si>
    <t>Descripción del Valor</t>
  </si>
  <si>
    <t>Cobrado</t>
  </si>
  <si>
    <t>Saldo a favor</t>
  </si>
  <si>
    <t>Comprobante de Retencion</t>
  </si>
  <si>
    <t>Observación</t>
  </si>
  <si>
    <t>Banco</t>
  </si>
  <si>
    <t>Número OP</t>
  </si>
  <si>
    <t>Importe</t>
  </si>
  <si>
    <t>FT</t>
  </si>
  <si>
    <t>F003-0004345</t>
  </si>
  <si>
    <t>DEPOSITO</t>
  </si>
  <si>
    <t>BBVA</t>
  </si>
  <si>
    <t xml:space="preserve"> MOV 11337</t>
  </si>
  <si>
    <t>F003-0004346</t>
  </si>
  <si>
    <t>BCP</t>
  </si>
  <si>
    <t>OP 6014204</t>
  </si>
  <si>
    <t>VENTA KAREN</t>
  </si>
  <si>
    <t>F003-0004347</t>
  </si>
  <si>
    <t>op 6017898</t>
  </si>
  <si>
    <t>F003-0004348</t>
  </si>
  <si>
    <t>OP 2232760</t>
  </si>
  <si>
    <t>F003-0004349</t>
  </si>
  <si>
    <t>VISA</t>
  </si>
  <si>
    <t>REF 01865</t>
  </si>
  <si>
    <t>F003-0004350</t>
  </si>
  <si>
    <t>OP 2111146</t>
  </si>
  <si>
    <t>VENTA CARMEN</t>
  </si>
  <si>
    <t>F003-0004351</t>
  </si>
  <si>
    <t>REF 48779</t>
  </si>
  <si>
    <t>F003-0004352</t>
  </si>
  <si>
    <t>INTERBANK</t>
  </si>
  <si>
    <t>OP3173981</t>
  </si>
  <si>
    <t>VENTA PATRICIA</t>
  </si>
  <si>
    <t>F003-0004353</t>
  </si>
  <si>
    <t>POR ANULAR</t>
  </si>
  <si>
    <t>OP 2213970</t>
  </si>
  <si>
    <t>F003-0004354</t>
  </si>
  <si>
    <t>OP 2814208</t>
  </si>
  <si>
    <t>F003-0004355</t>
  </si>
  <si>
    <t>REF 50191</t>
  </si>
  <si>
    <t>F003-0004356</t>
  </si>
  <si>
    <t>op 0046330</t>
  </si>
  <si>
    <t>F003-0004357</t>
  </si>
  <si>
    <t>REF 25047</t>
  </si>
  <si>
    <t>F003-0004358</t>
  </si>
  <si>
    <t>OP 2041458</t>
  </si>
  <si>
    <t>F003-0004359</t>
  </si>
  <si>
    <t>MOV 11361</t>
  </si>
  <si>
    <t>F001-00012964</t>
  </si>
  <si>
    <t>VENTA CHORRILLOS</t>
  </si>
  <si>
    <t>F003-0004360</t>
  </si>
  <si>
    <t>F003-0004361</t>
  </si>
  <si>
    <t>OP 0266720</t>
  </si>
  <si>
    <t>VENTA HELEN</t>
  </si>
  <si>
    <t>F003-0004362</t>
  </si>
  <si>
    <t>OP 2185124</t>
  </si>
  <si>
    <t>VENTA ENDRINA</t>
  </si>
  <si>
    <t>BV</t>
  </si>
  <si>
    <t>B003-000326</t>
  </si>
  <si>
    <t>OP 6389919</t>
  </si>
  <si>
    <t>F001-0012977</t>
  </si>
  <si>
    <t>PAGO LINK</t>
  </si>
  <si>
    <t>F001-0012985</t>
  </si>
  <si>
    <t>OP 2186359</t>
  </si>
  <si>
    <t>RETENCIÓN 3%</t>
  </si>
  <si>
    <t>F001-0012986</t>
  </si>
  <si>
    <t>OP 2202314</t>
  </si>
  <si>
    <t>F003-0004363</t>
  </si>
  <si>
    <t>OP 0952995</t>
  </si>
  <si>
    <t>F003-0004364</t>
  </si>
  <si>
    <t>OP 2033686</t>
  </si>
  <si>
    <t>F003-0004365</t>
  </si>
  <si>
    <t xml:space="preserve">INTERBANK </t>
  </si>
  <si>
    <t>O 0435592</t>
  </si>
  <si>
    <t>F003-0004366</t>
  </si>
  <si>
    <t xml:space="preserve">BBVA </t>
  </si>
  <si>
    <t>MOV 11398</t>
  </si>
  <si>
    <t>F003-0004367</t>
  </si>
  <si>
    <t>OP 0729772</t>
  </si>
  <si>
    <t>F003-0004368</t>
  </si>
  <si>
    <t>REF 21209</t>
  </si>
  <si>
    <t>F003-0004369</t>
  </si>
  <si>
    <t>REF 23268</t>
  </si>
  <si>
    <t>F003-0004370</t>
  </si>
  <si>
    <t>REF 23822</t>
  </si>
  <si>
    <t>F003-0004371</t>
  </si>
  <si>
    <t>MOV 11409</t>
  </si>
  <si>
    <t>F003-0004372</t>
  </si>
  <si>
    <t>FC03-0000056</t>
  </si>
  <si>
    <t>F003-0004373</t>
  </si>
  <si>
    <t>OP 2040679</t>
  </si>
  <si>
    <t>F003-0004374</t>
  </si>
  <si>
    <t>OP 2603169</t>
  </si>
  <si>
    <t>VENTA ROMY</t>
  </si>
  <si>
    <t>F001-00013021</t>
  </si>
  <si>
    <t>OP 2269263</t>
  </si>
  <si>
    <t>F003-0004375</t>
  </si>
  <si>
    <t>REF 22406</t>
  </si>
  <si>
    <t>F003-0004376</t>
  </si>
  <si>
    <t>OP 0878058</t>
  </si>
  <si>
    <t>F003-0004377</t>
  </si>
  <si>
    <t>OP 0931095</t>
  </si>
  <si>
    <t>F003-0004378</t>
  </si>
  <si>
    <t>OP 1174375</t>
  </si>
  <si>
    <t>F003-0004379</t>
  </si>
  <si>
    <t>op 2051205</t>
  </si>
  <si>
    <t>F003-0004380</t>
  </si>
  <si>
    <t>OP 0746368</t>
  </si>
  <si>
    <t>F003-0004381</t>
  </si>
  <si>
    <t>OP 0617070</t>
  </si>
  <si>
    <t>B003-000327</t>
  </si>
  <si>
    <t>REF 23175</t>
  </si>
  <si>
    <t>F009-0000939</t>
  </si>
  <si>
    <t>VENTA CHICLAYO</t>
  </si>
  <si>
    <t>F003-0004382</t>
  </si>
  <si>
    <t>REF 12085</t>
  </si>
  <si>
    <t>B003-0000328</t>
  </si>
  <si>
    <t>OP 0054914</t>
  </si>
  <si>
    <t>F003-0004383</t>
  </si>
  <si>
    <t>REF 13319</t>
  </si>
  <si>
    <t>F003-0004384</t>
  </si>
  <si>
    <t>REF 93977</t>
  </si>
  <si>
    <t>F003-0004385</t>
  </si>
  <si>
    <t>op 2131498</t>
  </si>
  <si>
    <t>B003-0000329</t>
  </si>
  <si>
    <t>BC003-00002</t>
  </si>
  <si>
    <t>B003-0000330</t>
  </si>
  <si>
    <t>OP 5153671</t>
  </si>
  <si>
    <t>F003-0004386</t>
  </si>
  <si>
    <t>MOV 11458</t>
  </si>
  <si>
    <t>F003-0004387</t>
  </si>
  <si>
    <t>OP 2008438</t>
  </si>
  <si>
    <t>F003-0004388</t>
  </si>
  <si>
    <t>OP 2033545</t>
  </si>
  <si>
    <t>F003-0004389</t>
  </si>
  <si>
    <t>REF 39590</t>
  </si>
  <si>
    <t>REF 39635</t>
  </si>
  <si>
    <t>B003-00000331</t>
  </si>
  <si>
    <t>REF 82634</t>
  </si>
  <si>
    <t>F001-00013077</t>
  </si>
  <si>
    <t>OP 1601437</t>
  </si>
  <si>
    <t>F003-0004390</t>
  </si>
  <si>
    <t>REF 33655</t>
  </si>
  <si>
    <t>F003-0004391</t>
  </si>
  <si>
    <t>MOV 11488</t>
  </si>
  <si>
    <t>F003-0004392</t>
  </si>
  <si>
    <t>OP 2094150</t>
  </si>
  <si>
    <t>F001-0013089</t>
  </si>
  <si>
    <t>op 00684580</t>
  </si>
  <si>
    <t>F001-0013090</t>
  </si>
  <si>
    <t>OP 00746289</t>
  </si>
  <si>
    <t>F001-0013092</t>
  </si>
  <si>
    <t>OP 2044735</t>
  </si>
  <si>
    <t>B003-00000332</t>
  </si>
  <si>
    <t>REF 08978</t>
  </si>
  <si>
    <t>F003-0004393</t>
  </si>
  <si>
    <t>MOV11503</t>
  </si>
  <si>
    <t>F003-0004394</t>
  </si>
  <si>
    <t>OP 6001825</t>
  </si>
  <si>
    <t>F003-0004395</t>
  </si>
  <si>
    <t>OP 0879416</t>
  </si>
  <si>
    <t>F003-0004396</t>
  </si>
  <si>
    <t>OP 1023169</t>
  </si>
  <si>
    <t>F003-0004397</t>
  </si>
  <si>
    <t>F003-0004398</t>
  </si>
  <si>
    <t>REF 28229</t>
  </si>
  <si>
    <t>F003-0004399</t>
  </si>
  <si>
    <t>OP 3423109</t>
  </si>
  <si>
    <t>F001-00013114</t>
  </si>
  <si>
    <t>NC01-000180</t>
  </si>
  <si>
    <t>F003-0004400</t>
  </si>
  <si>
    <t>op 02316784</t>
  </si>
  <si>
    <t>F003-0004401</t>
  </si>
  <si>
    <t>F003-0004402</t>
  </si>
  <si>
    <t>REF 42119</t>
  </si>
  <si>
    <t>F003-0004403</t>
  </si>
  <si>
    <t>OP 2048508</t>
  </si>
  <si>
    <t>F003-0004404</t>
  </si>
  <si>
    <t>OP 2071846</t>
  </si>
  <si>
    <t>F003-0004405</t>
  </si>
  <si>
    <t>REF 44248</t>
  </si>
  <si>
    <t>F003-0004406</t>
  </si>
  <si>
    <t>OP 0452963</t>
  </si>
  <si>
    <t>VENTA GIANCARLO</t>
  </si>
  <si>
    <t>F003-0004407</t>
  </si>
  <si>
    <t>OP 2031661</t>
  </si>
  <si>
    <t>F003-0004408</t>
  </si>
  <si>
    <t>REF 59399</t>
  </si>
  <si>
    <t>F003-0004409</t>
  </si>
  <si>
    <t>OP 6040923</t>
  </si>
  <si>
    <t>F001-00013116</t>
  </si>
  <si>
    <t>MOV 11515</t>
  </si>
  <si>
    <t>F003-0004410</t>
  </si>
  <si>
    <t>REF 89811</t>
  </si>
  <si>
    <t>F003-0004411</t>
  </si>
  <si>
    <t>OP 23015338</t>
  </si>
  <si>
    <t>F003-0004412</t>
  </si>
  <si>
    <t>REF 29549</t>
  </si>
  <si>
    <t>F003-0004413</t>
  </si>
  <si>
    <t>OP 0755305</t>
  </si>
  <si>
    <t>F003-0004414</t>
  </si>
  <si>
    <t>MOV 11559</t>
  </si>
  <si>
    <t>F003-0004415</t>
  </si>
  <si>
    <t>OP 062722</t>
  </si>
  <si>
    <t>VENTA MARICIELO</t>
  </si>
  <si>
    <t>F003-0004416</t>
  </si>
  <si>
    <t>OP 2109405</t>
  </si>
  <si>
    <t>F003-0004417</t>
  </si>
  <si>
    <t>OP 0762015</t>
  </si>
  <si>
    <t>F003-0004418</t>
  </si>
  <si>
    <t>ANULADO</t>
  </si>
  <si>
    <t>F003-0004419</t>
  </si>
  <si>
    <t xml:space="preserve"> MOV 11570</t>
  </si>
  <si>
    <t>F003-0004420</t>
  </si>
  <si>
    <t>OP 2117838</t>
  </si>
  <si>
    <t>F003-0004421</t>
  </si>
  <si>
    <t>REF 45233</t>
  </si>
  <si>
    <t>VENTA OFICINA</t>
  </si>
  <si>
    <t>F003-0004422</t>
  </si>
  <si>
    <t>OP 1581270</t>
  </si>
  <si>
    <t>F001-0013165</t>
  </si>
  <si>
    <t>EFECTIVO</t>
  </si>
  <si>
    <t>F003-0004423</t>
  </si>
  <si>
    <t>OP 2171666</t>
  </si>
  <si>
    <t>F003-0004424</t>
  </si>
  <si>
    <t>OP 2214655</t>
  </si>
  <si>
    <t>F003-0004425</t>
  </si>
  <si>
    <t>REF 45632</t>
  </si>
  <si>
    <t>F003-0004426</t>
  </si>
  <si>
    <t>OP 0820809</t>
  </si>
  <si>
    <t>F003-0004427</t>
  </si>
  <si>
    <t>MOV 11584</t>
  </si>
  <si>
    <t>F003-0004428</t>
  </si>
  <si>
    <t>11583/11585</t>
  </si>
  <si>
    <t>B003-00000333</t>
  </si>
  <si>
    <t>OP 0914061</t>
  </si>
  <si>
    <t>F003-0004429</t>
  </si>
  <si>
    <t>MOV 11599</t>
  </si>
  <si>
    <t>F001-0013176</t>
  </si>
  <si>
    <t>MOV 11581</t>
  </si>
  <si>
    <t>F003-0004430</t>
  </si>
  <si>
    <t>OP 3282250</t>
  </si>
  <si>
    <t>F003-0004431</t>
  </si>
  <si>
    <t>OP 2189908</t>
  </si>
  <si>
    <t>F003-0004432</t>
  </si>
  <si>
    <t>REF 08921</t>
  </si>
  <si>
    <t>F003-0004433</t>
  </si>
  <si>
    <t>OP 1339732</t>
  </si>
  <si>
    <t>F003-0004434</t>
  </si>
  <si>
    <t>MOV 11609</t>
  </si>
  <si>
    <t>F003-0004435</t>
  </si>
  <si>
    <t>OP 6052263</t>
  </si>
  <si>
    <t>F003-0004436</t>
  </si>
  <si>
    <t>MOV 11624</t>
  </si>
  <si>
    <t>F003-0004437</t>
  </si>
  <si>
    <t>REF 26280</t>
  </si>
  <si>
    <t>F003-0004438</t>
  </si>
  <si>
    <t>OP 1522139</t>
  </si>
  <si>
    <t>F003-0004439</t>
  </si>
  <si>
    <t>MOV 11627</t>
  </si>
  <si>
    <t>F003-0004440</t>
  </si>
  <si>
    <t>REF 28485</t>
  </si>
  <si>
    <t>F001-0015382</t>
  </si>
  <si>
    <t>REF 28615</t>
  </si>
  <si>
    <t>F003-0004441</t>
  </si>
  <si>
    <t>MOV 11637</t>
  </si>
  <si>
    <t>F003-0004442</t>
  </si>
  <si>
    <t>MOV 11636</t>
  </si>
  <si>
    <t>F003-0004443</t>
  </si>
  <si>
    <t>OP 0806506</t>
  </si>
  <si>
    <t>F003-0004444</t>
  </si>
  <si>
    <t>MOV 11641</t>
  </si>
  <si>
    <t>F003-0004445</t>
  </si>
  <si>
    <t>REF 23671</t>
  </si>
  <si>
    <t>F003-0004446</t>
  </si>
  <si>
    <t>OP 2011728</t>
  </si>
  <si>
    <t>SALDO A FAVOR DE S/94.69</t>
  </si>
  <si>
    <t>F003-0004447</t>
  </si>
  <si>
    <t>OP 1221838</t>
  </si>
  <si>
    <t>F003-0004448</t>
  </si>
  <si>
    <t>OP 2336031</t>
  </si>
  <si>
    <t>F003-0004449</t>
  </si>
  <si>
    <t>MOV 11648</t>
  </si>
  <si>
    <t>F003-0004450</t>
  </si>
  <si>
    <t>OP 02045401</t>
  </si>
  <si>
    <t>OP 2334461</t>
  </si>
  <si>
    <t>F003-0004451</t>
  </si>
  <si>
    <t>MOV 11650</t>
  </si>
  <si>
    <t>F003-0004452</t>
  </si>
  <si>
    <t>OP 1550634</t>
  </si>
  <si>
    <t>F003-0004453</t>
  </si>
  <si>
    <t>OP 2130269</t>
  </si>
  <si>
    <t>F003-0004454</t>
  </si>
  <si>
    <t>F003-0004455</t>
  </si>
  <si>
    <t>OP 0003379</t>
  </si>
  <si>
    <t>F001-00013226</t>
  </si>
  <si>
    <t>op 0005563</t>
  </si>
  <si>
    <t>F003-0004456</t>
  </si>
  <si>
    <t>OP 02203743</t>
  </si>
  <si>
    <t>F003-0004457</t>
  </si>
  <si>
    <t>REF 98879</t>
  </si>
  <si>
    <t>F003-0004458</t>
  </si>
  <si>
    <t>OP 2834718</t>
  </si>
  <si>
    <t>F003-0004459</t>
  </si>
  <si>
    <t>REF 28056</t>
  </si>
  <si>
    <t>F001-00013228</t>
  </si>
  <si>
    <t>MOV 11663</t>
  </si>
  <si>
    <t>F003-0004460</t>
  </si>
  <si>
    <t>OP 0514381</t>
  </si>
  <si>
    <t>F003-0004461</t>
  </si>
  <si>
    <t>MOV 11670</t>
  </si>
  <si>
    <t>F003-0004462</t>
  </si>
  <si>
    <t>OP 0925508</t>
  </si>
  <si>
    <t>F003-0004463</t>
  </si>
  <si>
    <t>OP 0969796</t>
  </si>
  <si>
    <t>F003-0004464</t>
  </si>
  <si>
    <t xml:space="preserve"> OP 1070018</t>
  </si>
  <si>
    <t>F003-0004465</t>
  </si>
  <si>
    <t>OP 2158720</t>
  </si>
  <si>
    <t>B003-0000334</t>
  </si>
  <si>
    <t>REF 07074</t>
  </si>
  <si>
    <t>F003-0004466</t>
  </si>
  <si>
    <t>OP 2207755</t>
  </si>
  <si>
    <t>F003-0004467</t>
  </si>
  <si>
    <t>OP 6010308</t>
  </si>
  <si>
    <t>F003-0004468</t>
  </si>
  <si>
    <t>REF 25871</t>
  </si>
  <si>
    <t>F003-0004469</t>
  </si>
  <si>
    <t>OP 0262131</t>
  </si>
  <si>
    <t>F003-0004470</t>
  </si>
  <si>
    <t>MOV 11702</t>
  </si>
  <si>
    <t>F003-0004471</t>
  </si>
  <si>
    <t xml:space="preserve"> OP 1633841</t>
  </si>
  <si>
    <t>F003-0004472</t>
  </si>
  <si>
    <t>OP 0085344</t>
  </si>
  <si>
    <t>REF 20243</t>
  </si>
  <si>
    <t>F003-0004473</t>
  </si>
  <si>
    <t>OP 0085349</t>
  </si>
  <si>
    <t>F003-0004474</t>
  </si>
  <si>
    <t>OP 2203270</t>
  </si>
  <si>
    <t>F003-0004475</t>
  </si>
  <si>
    <t>OP 3444804</t>
  </si>
  <si>
    <t>F003-0004476</t>
  </si>
  <si>
    <t>MOV 116887</t>
  </si>
  <si>
    <t>F003-0004477</t>
  </si>
  <si>
    <t>OP 2230216</t>
  </si>
  <si>
    <t>F003-0004478</t>
  </si>
  <si>
    <t>OP 2053115</t>
  </si>
  <si>
    <t>F003-0004479</t>
  </si>
  <si>
    <t>OP 1583858</t>
  </si>
  <si>
    <t>F003-0004480</t>
  </si>
  <si>
    <t>REF 46837</t>
  </si>
  <si>
    <t xml:space="preserve"> OP 0003705</t>
  </si>
  <si>
    <t>F003-0004481</t>
  </si>
  <si>
    <t>OP 2852704</t>
  </si>
  <si>
    <t>F003-0004482</t>
  </si>
  <si>
    <t>OP 6054367</t>
  </si>
  <si>
    <t>F004-0007495</t>
  </si>
  <si>
    <t>MOV 11697</t>
  </si>
  <si>
    <t>VENTA SAN BORJA</t>
  </si>
  <si>
    <t>F003-0004483</t>
  </si>
  <si>
    <t>REF 51135</t>
  </si>
  <si>
    <t>F003-0004484</t>
  </si>
  <si>
    <t>OP 0906265</t>
  </si>
  <si>
    <t>F003-0004485</t>
  </si>
  <si>
    <t>OP 1473293</t>
  </si>
  <si>
    <t>F003-0004486</t>
  </si>
  <si>
    <t>REF 54696</t>
  </si>
  <si>
    <t>F003-0004487</t>
  </si>
  <si>
    <t>REF 57408</t>
  </si>
  <si>
    <t>F003-0004488</t>
  </si>
  <si>
    <t>REF 58001</t>
  </si>
  <si>
    <t>F003-0004489</t>
  </si>
  <si>
    <t>OP 2225556</t>
  </si>
  <si>
    <t>F003-0004490</t>
  </si>
  <si>
    <t>REF 58531</t>
  </si>
  <si>
    <t>TOTAL</t>
  </si>
  <si>
    <t>F003-0004491</t>
  </si>
  <si>
    <t>OP 3349290</t>
  </si>
  <si>
    <t>F003-0004492</t>
  </si>
  <si>
    <t>OP 2490761</t>
  </si>
  <si>
    <t>F003-0004493</t>
  </si>
  <si>
    <t>OP 2766985</t>
  </si>
  <si>
    <t>F003-0004494</t>
  </si>
  <si>
    <t>F003-0004495</t>
  </si>
  <si>
    <t>OP 2163200</t>
  </si>
  <si>
    <t>F004-0007505</t>
  </si>
  <si>
    <t>OP 1854745</t>
  </si>
  <si>
    <t>F004-0007512</t>
  </si>
  <si>
    <t>OP 2190034</t>
  </si>
  <si>
    <t>F003-0004496</t>
  </si>
  <si>
    <t>OP 02230842</t>
  </si>
  <si>
    <t>F003-0004497</t>
  </si>
  <si>
    <t>MOV 11742</t>
  </si>
  <si>
    <t>F003-0004498</t>
  </si>
  <si>
    <t>OP 2049091</t>
  </si>
  <si>
    <t>F003-0004499</t>
  </si>
  <si>
    <t>OP 8610222</t>
  </si>
  <si>
    <t>F003-0004500</t>
  </si>
  <si>
    <t>F003-0004501</t>
  </si>
  <si>
    <t>REF 52993</t>
  </si>
  <si>
    <t>F003-0004502</t>
  </si>
  <si>
    <t>op 3299536</t>
  </si>
  <si>
    <t>F003-0004503</t>
  </si>
  <si>
    <t>OP 0004707</t>
  </si>
  <si>
    <t>F003-0004504</t>
  </si>
  <si>
    <t>OP 1764248</t>
  </si>
  <si>
    <t>F003-0004505</t>
  </si>
  <si>
    <t>OP 1666287</t>
  </si>
  <si>
    <t>F003-0004506</t>
  </si>
  <si>
    <t>OP 02246503</t>
  </si>
  <si>
    <t>F003-0004507</t>
  </si>
  <si>
    <t>OP 2118629</t>
  </si>
  <si>
    <t>F003-0004508</t>
  </si>
  <si>
    <t>REF 07457</t>
  </si>
  <si>
    <t>F003-0004509</t>
  </si>
  <si>
    <t>MOV 11833</t>
  </si>
  <si>
    <t>F003-0004510</t>
  </si>
  <si>
    <t>OP 3534425</t>
  </si>
  <si>
    <t>F003-0004511</t>
  </si>
  <si>
    <t>REF 21514</t>
  </si>
  <si>
    <t>F003-0004512</t>
  </si>
  <si>
    <t>OP 04684197</t>
  </si>
  <si>
    <t>F003-0004513</t>
  </si>
  <si>
    <t>REF 31979</t>
  </si>
  <si>
    <t>F003-0004514</t>
  </si>
  <si>
    <t>OP 2040117</t>
  </si>
  <si>
    <t>F003-0004515</t>
  </si>
  <si>
    <t>REF 37306</t>
  </si>
  <si>
    <t>F003-0004516</t>
  </si>
  <si>
    <t>REF 37714</t>
  </si>
  <si>
    <t>F003-0004517</t>
  </si>
  <si>
    <t>REF 39016</t>
  </si>
  <si>
    <t>F003-0004518</t>
  </si>
  <si>
    <t>MOV 11799</t>
  </si>
  <si>
    <t>F003-0004519</t>
  </si>
  <si>
    <t>NOTA DE CRÉDITO</t>
  </si>
  <si>
    <t>F003-0004520</t>
  </si>
  <si>
    <t>OP 2022665</t>
  </si>
  <si>
    <t>F003-0004521</t>
  </si>
  <si>
    <t>OP 2065371</t>
  </si>
  <si>
    <t>F003-0004522</t>
  </si>
  <si>
    <t>OP 0005434</t>
  </si>
  <si>
    <t>F003-0004523</t>
  </si>
  <si>
    <t>REF 54047</t>
  </si>
  <si>
    <t>F003-0004524</t>
  </si>
  <si>
    <t>OP 2181174</t>
  </si>
  <si>
    <t>F003-0004525</t>
  </si>
  <si>
    <t>OP 2206717</t>
  </si>
  <si>
    <t>F003-0004526</t>
  </si>
  <si>
    <t>REF 59561</t>
  </si>
  <si>
    <t>F001-0013380</t>
  </si>
  <si>
    <t>OP 6009286</t>
  </si>
  <si>
    <t>F001-0013383</t>
  </si>
  <si>
    <t>MOV 11813</t>
  </si>
  <si>
    <t>F003-0004527</t>
  </si>
  <si>
    <t>OP 0565179</t>
  </si>
  <si>
    <t>F003-0004528</t>
  </si>
  <si>
    <t>OP 1234261</t>
  </si>
  <si>
    <t>F004-0007557</t>
  </si>
  <si>
    <t>OP 2317530</t>
  </si>
  <si>
    <t>F003-0004529</t>
  </si>
  <si>
    <t>OP 02052055</t>
  </si>
  <si>
    <t>F003-0004530</t>
  </si>
  <si>
    <t>ANULADA</t>
  </si>
  <si>
    <t>F003-0004531</t>
  </si>
  <si>
    <t>REF 18794</t>
  </si>
  <si>
    <t>F003-0004532</t>
  </si>
  <si>
    <t>REF 19315</t>
  </si>
  <si>
    <t>F003-0004533</t>
  </si>
  <si>
    <t>OP 2058164</t>
  </si>
  <si>
    <t>F003-0004534</t>
  </si>
  <si>
    <t>REF 12438</t>
  </si>
  <si>
    <t>F003-0004535</t>
  </si>
  <si>
    <t>REF 18665</t>
  </si>
  <si>
    <t>F003-0004536</t>
  </si>
  <si>
    <t>OP 3044286</t>
  </si>
  <si>
    <t>F003-0004537</t>
  </si>
  <si>
    <t>REF 10232</t>
  </si>
  <si>
    <t>F004-0007565</t>
  </si>
  <si>
    <t>F003-0004538</t>
  </si>
  <si>
    <t>REF 24246</t>
  </si>
  <si>
    <t>F003-0004539</t>
  </si>
  <si>
    <t>REF 24194</t>
  </si>
  <si>
    <t>F003-0004540</t>
  </si>
  <si>
    <t>O P 2111733</t>
  </si>
  <si>
    <t>OP 2197116</t>
  </si>
  <si>
    <t>F003-0004541</t>
  </si>
  <si>
    <t>OP 3800930</t>
  </si>
  <si>
    <t>VENTA BSP ONLINE</t>
  </si>
  <si>
    <t>F003-0004542</t>
  </si>
  <si>
    <t>OP 02225845</t>
  </si>
  <si>
    <t>F003-0004543</t>
  </si>
  <si>
    <t>OP 02259384</t>
  </si>
  <si>
    <t>F003-0004544</t>
  </si>
  <si>
    <t>REF 10009</t>
  </si>
  <si>
    <t>F003-0004545</t>
  </si>
  <si>
    <t>OP 02219613</t>
  </si>
  <si>
    <t>F003-0004546</t>
  </si>
  <si>
    <t>REF 10786</t>
  </si>
  <si>
    <t>F003-0004547</t>
  </si>
  <si>
    <t>OP 2062921</t>
  </si>
  <si>
    <t>F003-0004548</t>
  </si>
  <si>
    <t>REF 10364</t>
  </si>
  <si>
    <t>F003-0004549</t>
  </si>
  <si>
    <t>OP 2770155</t>
  </si>
  <si>
    <t>F003-0004550</t>
  </si>
  <si>
    <t>REF 10929</t>
  </si>
  <si>
    <t>F003-0004551</t>
  </si>
  <si>
    <t>NC003-000060</t>
  </si>
  <si>
    <t>F003-0004552</t>
  </si>
  <si>
    <t>OP 3769337</t>
  </si>
  <si>
    <t>B003-0000335</t>
  </si>
  <si>
    <t>REF 3458</t>
  </si>
  <si>
    <t>F001-0013427</t>
  </si>
  <si>
    <t xml:space="preserve"> MVO 11877</t>
  </si>
  <si>
    <t>F001-0013428</t>
  </si>
  <si>
    <t>MOV 11878</t>
  </si>
  <si>
    <t>F003-0004553</t>
  </si>
  <si>
    <t>REF 51754</t>
  </si>
  <si>
    <t>F003-0004554</t>
  </si>
  <si>
    <t>OP 1065751</t>
  </si>
  <si>
    <t>F003-0004555</t>
  </si>
  <si>
    <t xml:space="preserve"> OP 1142771</t>
  </si>
  <si>
    <t>F003-0004556</t>
  </si>
  <si>
    <t>OP 2104589</t>
  </si>
  <si>
    <t>F003-0004557</t>
  </si>
  <si>
    <t>MOV 11891</t>
  </si>
  <si>
    <t>F003-0004558</t>
  </si>
  <si>
    <t>OP 0699081</t>
  </si>
  <si>
    <t>F003-0004559</t>
  </si>
  <si>
    <t>OP 2868890</t>
  </si>
  <si>
    <t>F001-0013436</t>
  </si>
  <si>
    <t>REF 55373</t>
  </si>
  <si>
    <t>F003-0004560</t>
  </si>
  <si>
    <t>OP 0591714</t>
  </si>
  <si>
    <t>F003-0004561</t>
  </si>
  <si>
    <t>REF 41051</t>
  </si>
  <si>
    <t>F003-0004562</t>
  </si>
  <si>
    <t>OP 0731949</t>
  </si>
  <si>
    <t>F003-0004563</t>
  </si>
  <si>
    <t>OP 0538713</t>
  </si>
  <si>
    <t>F003-0004564</t>
  </si>
  <si>
    <t>OP 1956812</t>
  </si>
  <si>
    <t>F003-0004565</t>
  </si>
  <si>
    <t>OP 0701836</t>
  </si>
  <si>
    <t>B003-0000336</t>
  </si>
  <si>
    <t>OP 1493537</t>
  </si>
  <si>
    <t>B003-0000337</t>
  </si>
  <si>
    <t>REF 91542</t>
  </si>
  <si>
    <t>F003-0004566</t>
  </si>
  <si>
    <t>MOV 11917</t>
  </si>
  <si>
    <t>F003-0004567</t>
  </si>
  <si>
    <t>REF 98804</t>
  </si>
  <si>
    <t>F003-0004568</t>
  </si>
  <si>
    <t>OP 8922290</t>
  </si>
  <si>
    <t>F003-0004569</t>
  </si>
  <si>
    <t>OP 1329327</t>
  </si>
  <si>
    <t>OP 1328077</t>
  </si>
  <si>
    <t>F003-0004570</t>
  </si>
  <si>
    <t>OP 2000146</t>
  </si>
  <si>
    <t>F003-0004571</t>
  </si>
  <si>
    <t>OP 1145750</t>
  </si>
  <si>
    <t>F003-0004572</t>
  </si>
  <si>
    <t>OP 2012063</t>
  </si>
  <si>
    <t>F003-0004573</t>
  </si>
  <si>
    <t>OP 1957965</t>
  </si>
  <si>
    <t>F003-0004574</t>
  </si>
  <si>
    <t>OP 1039937</t>
  </si>
  <si>
    <t>F003-0004575</t>
  </si>
  <si>
    <t>OP 0993496</t>
  </si>
  <si>
    <t>F003-0004576</t>
  </si>
  <si>
    <t>OP 2018472</t>
  </si>
  <si>
    <t>F003-0004577</t>
  </si>
  <si>
    <t>REF 47687</t>
  </si>
  <si>
    <t>F003-0004578</t>
  </si>
  <si>
    <t>REF 43592</t>
  </si>
  <si>
    <t>F003-0004579</t>
  </si>
  <si>
    <t>CRÉDITO 15 DÍAS</t>
  </si>
  <si>
    <t>F003-0004580</t>
  </si>
  <si>
    <t>OP 2466933</t>
  </si>
  <si>
    <t>F003-0004581</t>
  </si>
  <si>
    <t>REF 48064</t>
  </si>
  <si>
    <t>F003-0004582</t>
  </si>
  <si>
    <t>OP 1419627</t>
  </si>
  <si>
    <t>F003-0004583</t>
  </si>
  <si>
    <t>OP 3133050</t>
  </si>
  <si>
    <t>B003-0000338</t>
  </si>
  <si>
    <t>SALDO A FAVOR</t>
  </si>
  <si>
    <t>F001-0013475</t>
  </si>
  <si>
    <t>REF 30637</t>
  </si>
  <si>
    <t>F003-0004584</t>
  </si>
  <si>
    <t>mov 11940</t>
  </si>
  <si>
    <t>F003-0004585</t>
  </si>
  <si>
    <t>OP 3997074</t>
  </si>
  <si>
    <t>VENTA ONLINE</t>
  </si>
  <si>
    <t>F003-0004586</t>
  </si>
  <si>
    <t>OP 2010388</t>
  </si>
  <si>
    <t>F003-0004587</t>
  </si>
  <si>
    <t>OP 0855362</t>
  </si>
  <si>
    <t>F003-0004588</t>
  </si>
  <si>
    <t>OP 2148460</t>
  </si>
  <si>
    <t>F003-0004589</t>
  </si>
  <si>
    <t>OP 2351133</t>
  </si>
  <si>
    <t>F003-0004590</t>
  </si>
  <si>
    <t>REF 53380</t>
  </si>
  <si>
    <t>B003-0000339</t>
  </si>
  <si>
    <t>REF  05063</t>
  </si>
  <si>
    <t>F001-0013500</t>
  </si>
  <si>
    <t>OP 3667113</t>
  </si>
  <si>
    <t>F003-0004591</t>
  </si>
  <si>
    <t>OP 3888162</t>
  </si>
  <si>
    <t xml:space="preserve">VENTA ENDRINA </t>
  </si>
  <si>
    <t>F003-0004592</t>
  </si>
  <si>
    <t>OP 5413409</t>
  </si>
  <si>
    <t>F003-0004593</t>
  </si>
  <si>
    <t>OP 0636887</t>
  </si>
  <si>
    <t>F003-0004594</t>
  </si>
  <si>
    <t>MOV 11952</t>
  </si>
  <si>
    <t>F003-0004595</t>
  </si>
  <si>
    <t>OP 6006350</t>
  </si>
  <si>
    <t>F003-0004596</t>
  </si>
  <si>
    <t>OP 6014908</t>
  </si>
  <si>
    <t>F003-0004597</t>
  </si>
  <si>
    <t>OP 2060436</t>
  </si>
  <si>
    <t>F003-0004598</t>
  </si>
  <si>
    <t>OP 2893007</t>
  </si>
  <si>
    <t>F001-0013513</t>
  </si>
  <si>
    <t>F003-0004599</t>
  </si>
  <si>
    <t>op 3739775</t>
  </si>
  <si>
    <t>F003-0004600</t>
  </si>
  <si>
    <t>OP 0623185</t>
  </si>
  <si>
    <t>F003-0004601</t>
  </si>
  <si>
    <t>MOV 11900</t>
  </si>
  <si>
    <t>REF 54426</t>
  </si>
  <si>
    <t>F003-0004602</t>
  </si>
  <si>
    <t>MOV 11962</t>
  </si>
  <si>
    <t>F003-0004603</t>
  </si>
  <si>
    <t>MOV 11970</t>
  </si>
  <si>
    <t>F003-0004604</t>
  </si>
  <si>
    <t>OP 1137525</t>
  </si>
  <si>
    <t>F003-0004605</t>
  </si>
  <si>
    <t>MOV 11973</t>
  </si>
  <si>
    <t>VENTA MARTIN</t>
  </si>
  <si>
    <t>F003-0004606</t>
  </si>
  <si>
    <t>REF 53664</t>
  </si>
  <si>
    <t>F003-0004607</t>
  </si>
  <si>
    <t>OP 0611826</t>
  </si>
  <si>
    <t>F003-0004608</t>
  </si>
  <si>
    <t>REF 57337</t>
  </si>
  <si>
    <t>F001-0013520</t>
  </si>
  <si>
    <t>OP 5712102</t>
  </si>
  <si>
    <t>F001-0013522</t>
  </si>
  <si>
    <t>OP 02219482</t>
  </si>
  <si>
    <t>F001-0013527</t>
  </si>
  <si>
    <t>MOV 11977</t>
  </si>
  <si>
    <t>F001-0013530</t>
  </si>
  <si>
    <t>mov 11966</t>
  </si>
  <si>
    <t>F003-0004609</t>
  </si>
  <si>
    <t>OP 2277151</t>
  </si>
  <si>
    <t>F003-0004610</t>
  </si>
  <si>
    <t>OP 0130843</t>
  </si>
  <si>
    <t>F003-0004611</t>
  </si>
  <si>
    <t>REF 30450</t>
  </si>
  <si>
    <t>REF 30497</t>
  </si>
  <si>
    <t>F003-0004612</t>
  </si>
  <si>
    <t>OP 0682559</t>
  </si>
  <si>
    <t>F003-0004613</t>
  </si>
  <si>
    <t>REF 02248</t>
  </si>
  <si>
    <t>F003-0004614</t>
  </si>
  <si>
    <t>OP 0373145</t>
  </si>
  <si>
    <t>F003-0004615</t>
  </si>
  <si>
    <t>REF 33877</t>
  </si>
  <si>
    <t>F003-0004616</t>
  </si>
  <si>
    <t>OP 9233467</t>
  </si>
  <si>
    <t>F003-0004617</t>
  </si>
  <si>
    <t>MOV 12002</t>
  </si>
  <si>
    <t>F003-0004618</t>
  </si>
  <si>
    <t>REF 35901</t>
  </si>
  <si>
    <t>F003-0004619</t>
  </si>
  <si>
    <t>OP 3170075</t>
  </si>
  <si>
    <t>F003-0004620</t>
  </si>
  <si>
    <t>REF 34123</t>
  </si>
  <si>
    <t>REF 77383</t>
  </si>
  <si>
    <t>B003-0000340</t>
  </si>
  <si>
    <t>OP 0008824</t>
  </si>
  <si>
    <t>F003-0004621</t>
  </si>
  <si>
    <t>OP 0771617</t>
  </si>
  <si>
    <t>F003-0004622</t>
  </si>
  <si>
    <t>OP 0846631</t>
  </si>
  <si>
    <t>F003-0004623</t>
  </si>
  <si>
    <t>REF 37382</t>
  </si>
  <si>
    <t>F003-0004624</t>
  </si>
  <si>
    <t>MOV 12013</t>
  </si>
  <si>
    <t>F003-0004625</t>
  </si>
  <si>
    <t>REF 39738</t>
  </si>
  <si>
    <t>B003-0000341</t>
  </si>
  <si>
    <t>REF 39219</t>
  </si>
  <si>
    <t>F004-0007683</t>
  </si>
  <si>
    <t>MOV 12015</t>
  </si>
  <si>
    <t>F001-0013557</t>
  </si>
  <si>
    <t>OP 1223600</t>
  </si>
  <si>
    <t>F001-0013558</t>
  </si>
  <si>
    <t>MOV 12012</t>
  </si>
  <si>
    <t>F003-0004626</t>
  </si>
  <si>
    <t>OP 0346357</t>
  </si>
  <si>
    <t>F003-0004627</t>
  </si>
  <si>
    <t>OP 1501430</t>
  </si>
  <si>
    <t>F003-0004628</t>
  </si>
  <si>
    <t>MOV 12025</t>
  </si>
  <si>
    <t>F003-0004629</t>
  </si>
  <si>
    <t>MOV 12026</t>
  </si>
  <si>
    <t>F004-0007695</t>
  </si>
  <si>
    <t>MOV 12028</t>
  </si>
  <si>
    <t>F001-0013571</t>
  </si>
  <si>
    <t>OP 2015099</t>
  </si>
  <si>
    <t>F001-0013574</t>
  </si>
  <si>
    <t>MVO 12023</t>
  </si>
  <si>
    <t>F001-0013582</t>
  </si>
  <si>
    <t>MOV 12035</t>
  </si>
  <si>
    <t>F003-0004630</t>
  </si>
  <si>
    <t>OP 04519293</t>
  </si>
  <si>
    <t>F003-0004631</t>
  </si>
  <si>
    <t>REF 41306</t>
  </si>
  <si>
    <t>F003-0004632</t>
  </si>
  <si>
    <t>OP 0718253</t>
  </si>
  <si>
    <t>F003-0004633</t>
  </si>
  <si>
    <t>REF 40634</t>
  </si>
  <si>
    <t>F003-0004634</t>
  </si>
  <si>
    <t>op 2801315</t>
  </si>
  <si>
    <t>F003-0004635</t>
  </si>
  <si>
    <t>REF 70114</t>
  </si>
  <si>
    <t>F003-0004636</t>
  </si>
  <si>
    <t>OP 0764125</t>
  </si>
  <si>
    <t>F003-0004637</t>
  </si>
  <si>
    <t>OP 3367242</t>
  </si>
  <si>
    <t>F004-0007700</t>
  </si>
  <si>
    <t>OP 2009630</t>
  </si>
  <si>
    <t>F004-0007706</t>
  </si>
  <si>
    <t>MOV 12039</t>
  </si>
  <si>
    <t>F003-0004638</t>
  </si>
  <si>
    <t>OP 02253368</t>
  </si>
  <si>
    <t>F003-0004639</t>
  </si>
  <si>
    <t>F003-0004640</t>
  </si>
  <si>
    <t>REF 52571</t>
  </si>
  <si>
    <t>F003-0004641</t>
  </si>
  <si>
    <t>MOV 12045</t>
  </si>
  <si>
    <t>F003-0004642</t>
  </si>
  <si>
    <t>REF 55914</t>
  </si>
  <si>
    <t>F003-0004643</t>
  </si>
  <si>
    <t>OP 2030584</t>
  </si>
  <si>
    <t>RETENCION 3%</t>
  </si>
  <si>
    <t>F003-0004644</t>
  </si>
  <si>
    <t>OP 4592678</t>
  </si>
  <si>
    <t>F001-0013591</t>
  </si>
  <si>
    <t>OP 02301289</t>
  </si>
  <si>
    <t>F001-0013598</t>
  </si>
  <si>
    <t>OP 2896884</t>
  </si>
  <si>
    <t>F001-0013599</t>
  </si>
  <si>
    <t>MOV 12052</t>
  </si>
  <si>
    <t>NC</t>
  </si>
  <si>
    <t>F003-0004645</t>
  </si>
  <si>
    <t xml:space="preserve"> OP 1248950</t>
  </si>
  <si>
    <t>F001-0013608</t>
  </si>
  <si>
    <t>OP 3140695</t>
  </si>
  <si>
    <t xml:space="preserve">  </t>
  </si>
  <si>
    <t>F003-0004646</t>
  </si>
  <si>
    <t>OP 1009581</t>
  </si>
  <si>
    <t>F003-0004647</t>
  </si>
  <si>
    <t>OP 1604630</t>
  </si>
  <si>
    <t>F003-0004648</t>
  </si>
  <si>
    <t>REF 13984</t>
  </si>
  <si>
    <t>F003-0004649</t>
  </si>
  <si>
    <t>op 3042094</t>
  </si>
  <si>
    <t>F003-0004650</t>
  </si>
  <si>
    <t>OP 60347663</t>
  </si>
  <si>
    <t>F003-0004651</t>
  </si>
  <si>
    <t>MVO 12081</t>
  </si>
  <si>
    <t>F003-0004652</t>
  </si>
  <si>
    <t>REF 17235</t>
  </si>
  <si>
    <t>F003-0004653</t>
  </si>
  <si>
    <t>REF 11792</t>
  </si>
  <si>
    <t>F003-0004654</t>
  </si>
  <si>
    <t>OP 3122912</t>
  </si>
  <si>
    <t>F003-0004655</t>
  </si>
  <si>
    <t>MOV 12092</t>
  </si>
  <si>
    <t>F003-0004656</t>
  </si>
  <si>
    <t>F003-0004657</t>
  </si>
  <si>
    <t>REF 16577</t>
  </si>
  <si>
    <t>F001-0013625</t>
  </si>
  <si>
    <t>MOV 12089</t>
  </si>
  <si>
    <t>F001-0013627</t>
  </si>
  <si>
    <t>OP 2780468</t>
  </si>
  <si>
    <t>F003-0004658</t>
  </si>
  <si>
    <t>REF 31720</t>
  </si>
  <si>
    <t>F003-0004659</t>
  </si>
  <si>
    <t>REF 32188</t>
  </si>
  <si>
    <t>F003-0004660</t>
  </si>
  <si>
    <t>MOV 12099</t>
  </si>
  <si>
    <t>F003-0004661</t>
  </si>
  <si>
    <t>OP 1381908</t>
  </si>
  <si>
    <t>F003-0004662</t>
  </si>
  <si>
    <t>OP 2074861</t>
  </si>
  <si>
    <t>F003-0004663</t>
  </si>
  <si>
    <t>REF 36760</t>
  </si>
  <si>
    <t>F003-0004664</t>
  </si>
  <si>
    <t>ANTICIPO</t>
  </si>
  <si>
    <t>F001-0013640</t>
  </si>
  <si>
    <t>OP 1852965</t>
  </si>
  <si>
    <t>F001-0013650</t>
  </si>
  <si>
    <t>OP 2229604</t>
  </si>
  <si>
    <t>F003-0004665</t>
  </si>
  <si>
    <t>OP 02235566</t>
  </si>
  <si>
    <t>F003-0004666</t>
  </si>
  <si>
    <t>MOV 12110</t>
  </si>
  <si>
    <t>F003-0004667</t>
  </si>
  <si>
    <t>REF 03439</t>
  </si>
  <si>
    <t>F003-0004668</t>
  </si>
  <si>
    <t>OP 1722690</t>
  </si>
  <si>
    <t>F003-0004669</t>
  </si>
  <si>
    <t>OP 0412673</t>
  </si>
  <si>
    <t>F003-0004670</t>
  </si>
  <si>
    <t>REF 06776</t>
  </si>
  <si>
    <t>F003-0004671</t>
  </si>
  <si>
    <t>OP 0497851</t>
  </si>
  <si>
    <t>F003-0004672</t>
  </si>
  <si>
    <t>OP 1057455</t>
  </si>
  <si>
    <t>F001-0013654</t>
  </si>
  <si>
    <t>REF 06896</t>
  </si>
  <si>
    <t>F001-0013657</t>
  </si>
  <si>
    <t>OP 3732218</t>
  </si>
  <si>
    <t>F003-0004673</t>
  </si>
  <si>
    <t>OP 02252936</t>
  </si>
  <si>
    <t>F003-0004674</t>
  </si>
  <si>
    <t>OP 0205898</t>
  </si>
  <si>
    <t>B003-0000342</t>
  </si>
  <si>
    <t>OP 6991784</t>
  </si>
  <si>
    <t>B003-0000343</t>
  </si>
  <si>
    <t>REF 08554</t>
  </si>
  <si>
    <t>F001-0013661</t>
  </si>
  <si>
    <t>OP 02264339</t>
  </si>
  <si>
    <t>F001-0013665</t>
  </si>
  <si>
    <t>OP 2045257</t>
  </si>
  <si>
    <t>F001-0013668</t>
  </si>
  <si>
    <t>OP 3284249</t>
  </si>
  <si>
    <t>F003-0004675</t>
  </si>
  <si>
    <t>OP 2308003</t>
  </si>
  <si>
    <t>F003-0004676</t>
  </si>
  <si>
    <t>OP 1097280</t>
  </si>
  <si>
    <t>F003-0004677</t>
  </si>
  <si>
    <t>REF 49885</t>
  </si>
  <si>
    <t>F003-0004678</t>
  </si>
  <si>
    <t>OP 0783657</t>
  </si>
  <si>
    <t>F003-0004679</t>
  </si>
  <si>
    <t>OP 2034983</t>
  </si>
  <si>
    <t>F003-0004680</t>
  </si>
  <si>
    <t>OP 1332911</t>
  </si>
  <si>
    <t>F003-0004681</t>
  </si>
  <si>
    <t>REF 42236</t>
  </si>
  <si>
    <t>F003-0004682</t>
  </si>
  <si>
    <t>op 2211397</t>
  </si>
  <si>
    <t>F003-0004683</t>
  </si>
  <si>
    <t>REF 17983</t>
  </si>
  <si>
    <t>F003-0004684</t>
  </si>
  <si>
    <t xml:space="preserve"> OP 3050925</t>
  </si>
  <si>
    <t>F003-0004685</t>
  </si>
  <si>
    <t>MOV 12163</t>
  </si>
  <si>
    <t>B003-0000344</t>
  </si>
  <si>
    <t>REF 49791</t>
  </si>
  <si>
    <t>F004-0007798</t>
  </si>
  <si>
    <t>MOV 12157</t>
  </si>
  <si>
    <t>F003-0004686</t>
  </si>
  <si>
    <t>OP 0255041</t>
  </si>
  <si>
    <t>F003-0004687</t>
  </si>
  <si>
    <t>OP 0149827</t>
  </si>
  <si>
    <t>F003-0004688</t>
  </si>
  <si>
    <t>REF 24212</t>
  </si>
  <si>
    <t>F003-0004689</t>
  </si>
  <si>
    <t>REF 01036</t>
  </si>
  <si>
    <t>F003-0004690</t>
  </si>
  <si>
    <t>REF 9247</t>
  </si>
  <si>
    <t>F003-0004691</t>
  </si>
  <si>
    <t>REF 09407</t>
  </si>
  <si>
    <t>F001-0013694</t>
  </si>
  <si>
    <t>OP 2063311</t>
  </si>
  <si>
    <t>F001-0013696</t>
  </si>
  <si>
    <t>OP 2087259</t>
  </si>
  <si>
    <t>F003-0004692</t>
  </si>
  <si>
    <t>REF 51240</t>
  </si>
  <si>
    <t>F003-0004693</t>
  </si>
  <si>
    <t>OP 2070961</t>
  </si>
  <si>
    <t>F003-0004694</t>
  </si>
  <si>
    <t>OP 2086871</t>
  </si>
  <si>
    <t>F003-0004695</t>
  </si>
  <si>
    <t>OP 2230367</t>
  </si>
  <si>
    <t>F003-0004696</t>
  </si>
  <si>
    <t>REF 58207</t>
  </si>
  <si>
    <t>F003-0004697</t>
  </si>
  <si>
    <t>MOV 12177</t>
  </si>
  <si>
    <t>B003-0000345</t>
  </si>
  <si>
    <t>REF 04656</t>
  </si>
  <si>
    <t>F001-00013713</t>
  </si>
  <si>
    <t>OP 2175063</t>
  </si>
  <si>
    <t>F003-0004698</t>
  </si>
  <si>
    <t>OP 0863677</t>
  </si>
  <si>
    <t>F003-0004699</t>
  </si>
  <si>
    <t>OP 2054717</t>
  </si>
  <si>
    <t>F003-0004700</t>
  </si>
  <si>
    <t>OP 1069537</t>
  </si>
  <si>
    <t>F003-0004701</t>
  </si>
  <si>
    <t>REF 51363</t>
  </si>
  <si>
    <t>13/03/2026</t>
  </si>
  <si>
    <t>F003-0004702</t>
  </si>
  <si>
    <t>OP 5323259</t>
  </si>
  <si>
    <t>F003-0004703</t>
  </si>
  <si>
    <t>OP 2023763</t>
  </si>
  <si>
    <t>F003-0004704</t>
  </si>
  <si>
    <t>MOV 12189</t>
  </si>
  <si>
    <t>F003-0004705</t>
  </si>
  <si>
    <t>OP 6013922</t>
  </si>
  <si>
    <t>F003-0004706</t>
  </si>
  <si>
    <t>F003-0004707</t>
  </si>
  <si>
    <t>F003-0004708</t>
  </si>
  <si>
    <t>OP 2169245</t>
  </si>
  <si>
    <t>F003-0004709</t>
  </si>
  <si>
    <t>OP 2185272</t>
  </si>
  <si>
    <t>F003-0004710</t>
  </si>
  <si>
    <t>REF 35880</t>
  </si>
  <si>
    <t>F003-0004711</t>
  </si>
  <si>
    <t>OP 3488600</t>
  </si>
  <si>
    <t>F003-0004712</t>
  </si>
  <si>
    <t>OP 3600149</t>
  </si>
  <si>
    <t>F001-0013741</t>
  </si>
  <si>
    <t>OP 1737469</t>
  </si>
  <si>
    <t>14-03-2026</t>
  </si>
  <si>
    <t>F003-0004713</t>
  </si>
  <si>
    <t>REF 05912</t>
  </si>
  <si>
    <t>VENTA FRANCISCO</t>
  </si>
  <si>
    <t>F003-0004714</t>
  </si>
  <si>
    <t>OP 0158979</t>
  </si>
  <si>
    <t>F003-0004715</t>
  </si>
  <si>
    <t>REF 42532</t>
  </si>
  <si>
    <t>F003-0004716</t>
  </si>
  <si>
    <t>F003-0004717</t>
  </si>
  <si>
    <t>OP 2718927</t>
  </si>
  <si>
    <t>16-03-2026</t>
  </si>
  <si>
    <t>F003-0004718</t>
  </si>
  <si>
    <t>OP 06044046</t>
  </si>
  <si>
    <t>F003-0004719</t>
  </si>
  <si>
    <t>OP 2022438</t>
  </si>
  <si>
    <t>F003-0004720</t>
  </si>
  <si>
    <t>OP 2256696</t>
  </si>
  <si>
    <t>17-03-2026</t>
  </si>
  <si>
    <t>F003-0004721</t>
  </si>
  <si>
    <t>MVO 12220</t>
  </si>
  <si>
    <t>F003-0004722</t>
  </si>
  <si>
    <t>REF 19037</t>
  </si>
  <si>
    <t>F003-0004723</t>
  </si>
  <si>
    <t>F003-0004724</t>
  </si>
  <si>
    <t>REF 10529</t>
  </si>
  <si>
    <t>F003-0004725</t>
  </si>
  <si>
    <t>REF 13194</t>
  </si>
  <si>
    <t>F003-0004726</t>
  </si>
  <si>
    <t>MOV 12222</t>
  </si>
  <si>
    <t>F003-0004727</t>
  </si>
  <si>
    <t>OP 3108616</t>
  </si>
  <si>
    <t>F003-0004728</t>
  </si>
  <si>
    <t>OP 0990274</t>
  </si>
  <si>
    <t>F001-0013764</t>
  </si>
  <si>
    <t>OP 0983670</t>
  </si>
  <si>
    <t>F001-0013770</t>
  </si>
  <si>
    <t>OP 2066459</t>
  </si>
  <si>
    <t>18-03-2026</t>
  </si>
  <si>
    <t>F003-0004729</t>
  </si>
  <si>
    <t>OP 4225006</t>
  </si>
  <si>
    <t>F003-0004730</t>
  </si>
  <si>
    <t>op 2943230</t>
  </si>
  <si>
    <t>F003-0004731</t>
  </si>
  <si>
    <t>OP 2161681</t>
  </si>
  <si>
    <t>F003-0004732</t>
  </si>
  <si>
    <t>OP 3873651</t>
  </si>
  <si>
    <t>F001-0013779</t>
  </si>
  <si>
    <t>op 2011053</t>
  </si>
  <si>
    <t>F001-0013780</t>
  </si>
  <si>
    <t>OP 6019007</t>
  </si>
  <si>
    <t>19-03-2026</t>
  </si>
  <si>
    <t>F003-0004733</t>
  </si>
  <si>
    <t>OP 0608256</t>
  </si>
  <si>
    <t>F003-0004734</t>
  </si>
  <si>
    <t>OP 0690743</t>
  </si>
  <si>
    <t>F003-0004735</t>
  </si>
  <si>
    <t>REF 33944</t>
  </si>
  <si>
    <t>F003-0004736</t>
  </si>
  <si>
    <t>OP 2026571</t>
  </si>
  <si>
    <t>F003-0004737</t>
  </si>
  <si>
    <t>OP 2058117</t>
  </si>
  <si>
    <t>F003-0004738</t>
  </si>
  <si>
    <t>MOV 12250</t>
  </si>
  <si>
    <t>F003-0004739</t>
  </si>
  <si>
    <t>OP 0915746</t>
  </si>
  <si>
    <t>F003-0004740</t>
  </si>
  <si>
    <t>OP 3000668</t>
  </si>
  <si>
    <t>B003-0000346</t>
  </si>
  <si>
    <t>REF39071</t>
  </si>
  <si>
    <t>F001-0013794</t>
  </si>
  <si>
    <t>OP 2028131</t>
  </si>
  <si>
    <t>F001-0013797</t>
  </si>
  <si>
    <t>MOV 12248</t>
  </si>
  <si>
    <t>20-03-2026</t>
  </si>
  <si>
    <t>F003-0004741</t>
  </si>
  <si>
    <t>REF 42364</t>
  </si>
  <si>
    <t>F003-0004742</t>
  </si>
  <si>
    <t>REF 44427</t>
  </si>
  <si>
    <t>F003-0004743</t>
  </si>
  <si>
    <t>OP 1878557</t>
  </si>
  <si>
    <t>F003-0004744</t>
  </si>
  <si>
    <t>OP 2173212</t>
  </si>
  <si>
    <t>F003-0004745</t>
  </si>
  <si>
    <t>OP 3279431</t>
  </si>
  <si>
    <t>F003-0004746</t>
  </si>
  <si>
    <t>REF 47823</t>
  </si>
  <si>
    <t>F003-0004747</t>
  </si>
  <si>
    <t>OP  0008324</t>
  </si>
  <si>
    <t>F001-0013807</t>
  </si>
  <si>
    <t>OP 2047874</t>
  </si>
  <si>
    <t>21-03-2026</t>
  </si>
  <si>
    <t>F003-0004748</t>
  </si>
  <si>
    <t>OP 0855057</t>
  </si>
  <si>
    <t>F003-0004749</t>
  </si>
  <si>
    <t>OP 6012659</t>
  </si>
  <si>
    <t>F003-0004750</t>
  </si>
  <si>
    <t>REF 42246</t>
  </si>
  <si>
    <t>B003-0000347</t>
  </si>
  <si>
    <t>OP 0168025</t>
  </si>
  <si>
    <t>23-03-2026</t>
  </si>
  <si>
    <t>F003-0004751</t>
  </si>
  <si>
    <t>OP 6977993</t>
  </si>
  <si>
    <t>F003-0004752</t>
  </si>
  <si>
    <t>OP 4122112</t>
  </si>
  <si>
    <t>F003-0004753</t>
  </si>
  <si>
    <t>OP 2495157</t>
  </si>
  <si>
    <t>F003-0004754</t>
  </si>
  <si>
    <t>OP 4370665</t>
  </si>
  <si>
    <t>F003-0004755</t>
  </si>
  <si>
    <t>REF 39632</t>
  </si>
  <si>
    <t>F001-0013834</t>
  </si>
  <si>
    <t>OP 2068880</t>
  </si>
  <si>
    <t>F001-0013838</t>
  </si>
  <si>
    <t>MOV 12306</t>
  </si>
  <si>
    <t>F001-0013841</t>
  </si>
  <si>
    <t>OP 6047204</t>
  </si>
  <si>
    <t>F004-0007903</t>
  </si>
  <si>
    <t>OP 0973598</t>
  </si>
  <si>
    <t>24-03-2026</t>
  </si>
  <si>
    <t>F003-0004756</t>
  </si>
  <si>
    <t>OP 2009165</t>
  </si>
  <si>
    <t>F003-0004757</t>
  </si>
  <si>
    <t>OP 0331921</t>
  </si>
  <si>
    <t>F003-0004758</t>
  </si>
  <si>
    <t>REF 14555</t>
  </si>
  <si>
    <t>F003-0004759</t>
  </si>
  <si>
    <t>OP 2073707</t>
  </si>
  <si>
    <t>F003-0004760</t>
  </si>
  <si>
    <t>REF 17225</t>
  </si>
  <si>
    <t>F001-0013851</t>
  </si>
  <si>
    <t>OP 2136213</t>
  </si>
  <si>
    <t>25-03-2026</t>
  </si>
  <si>
    <t>F003-0004761</t>
  </si>
  <si>
    <t>OP 4090176</t>
  </si>
  <si>
    <t>F003-0004762</t>
  </si>
  <si>
    <t>REF 20880</t>
  </si>
  <si>
    <t>F003-0004763</t>
  </si>
  <si>
    <t>OP 0174547</t>
  </si>
  <si>
    <t>F003-0004764</t>
  </si>
  <si>
    <t>REF 23711</t>
  </si>
  <si>
    <t>F003-0004765</t>
  </si>
  <si>
    <t>OP 6008241</t>
  </si>
  <si>
    <t>F003-0004766</t>
  </si>
  <si>
    <t>REF 27689</t>
  </si>
  <si>
    <t>F003-0004767</t>
  </si>
  <si>
    <t>REF 29867</t>
  </si>
  <si>
    <t>F003-0004768</t>
  </si>
  <si>
    <t>op 6039595</t>
  </si>
  <si>
    <t>F003-0004769</t>
  </si>
  <si>
    <t>OP 02200232</t>
  </si>
  <si>
    <t>F003-0004770</t>
  </si>
  <si>
    <t>MOV 12325</t>
  </si>
  <si>
    <t>26-03-2026</t>
  </si>
  <si>
    <t>F003-0004771</t>
  </si>
  <si>
    <t>21.69</t>
  </si>
  <si>
    <t>TARJETA</t>
  </si>
  <si>
    <t>REF 37421</t>
  </si>
  <si>
    <t>29.69</t>
  </si>
  <si>
    <t>SALDO A FAVOR S/. 8.00</t>
  </si>
  <si>
    <t>26-03-2027</t>
  </si>
  <si>
    <t>F003-0004772</t>
  </si>
  <si>
    <t>32.18</t>
  </si>
  <si>
    <t>OP.1214388</t>
  </si>
  <si>
    <t>26-03-2028</t>
  </si>
  <si>
    <t>F003-0004773</t>
  </si>
  <si>
    <t>72.57</t>
  </si>
  <si>
    <t>OP.02263832</t>
  </si>
  <si>
    <t>26-03-2029</t>
  </si>
  <si>
    <t>F003-0004774</t>
  </si>
  <si>
    <t>OP.6023709</t>
  </si>
  <si>
    <t>173.69</t>
  </si>
  <si>
    <t>F003-0004775</t>
  </si>
  <si>
    <t>236.98</t>
  </si>
  <si>
    <t>OP.1599433</t>
  </si>
  <si>
    <t>ANULADA X F4788</t>
  </si>
  <si>
    <t>F003-0004776</t>
  </si>
  <si>
    <t>168.91</t>
  </si>
  <si>
    <t>REF.38528</t>
  </si>
  <si>
    <t>F003-0004777</t>
  </si>
  <si>
    <t>383.34</t>
  </si>
  <si>
    <t>REF. 39941</t>
  </si>
  <si>
    <t>F003-0004778</t>
  </si>
  <si>
    <t>279.02</t>
  </si>
  <si>
    <t>OP.2048123</t>
  </si>
  <si>
    <t>279.00</t>
  </si>
  <si>
    <t>F003-0004779</t>
  </si>
  <si>
    <t>207.40</t>
  </si>
  <si>
    <t>MOV.12331</t>
  </si>
  <si>
    <t>F003-0004780</t>
  </si>
  <si>
    <t>319.70</t>
  </si>
  <si>
    <t>OP.2234757</t>
  </si>
  <si>
    <t>F003-0004781</t>
  </si>
  <si>
    <t>280.84</t>
  </si>
  <si>
    <t>OP00887760</t>
  </si>
  <si>
    <t>F003-0004782</t>
  </si>
  <si>
    <t>1197.33</t>
  </si>
  <si>
    <t>MOV.12336</t>
  </si>
  <si>
    <t>27-03-2026</t>
  </si>
  <si>
    <t>F003-0004783</t>
  </si>
  <si>
    <t>81.49</t>
  </si>
  <si>
    <t>OP.04211835</t>
  </si>
  <si>
    <t>F003-0004784</t>
  </si>
  <si>
    <t>41.97</t>
  </si>
  <si>
    <t>REF.34090</t>
  </si>
  <si>
    <t>F003-0004785</t>
  </si>
  <si>
    <t>352.71</t>
  </si>
  <si>
    <t>MOV.12341</t>
  </si>
  <si>
    <t>F003-0004786</t>
  </si>
  <si>
    <t>191.67</t>
  </si>
  <si>
    <t>OP.2942276</t>
  </si>
  <si>
    <t>F003-0004787</t>
  </si>
  <si>
    <t>223.57</t>
  </si>
  <si>
    <t>REF.16508</t>
  </si>
  <si>
    <t>27-03-226</t>
  </si>
  <si>
    <t>F003-0004788</t>
  </si>
  <si>
    <t>OP1599433</t>
  </si>
  <si>
    <t>F003-0004789</t>
  </si>
  <si>
    <t>OP.1434807</t>
  </si>
  <si>
    <t>28-03-2026</t>
  </si>
  <si>
    <t>F003-0004790</t>
  </si>
  <si>
    <t>REF 55757</t>
  </si>
  <si>
    <t>F003-0004791</t>
  </si>
  <si>
    <t>MOV 12355</t>
  </si>
  <si>
    <t>F003-0004792</t>
  </si>
  <si>
    <t>OP 2322904</t>
  </si>
  <si>
    <t>30-03-2026</t>
  </si>
  <si>
    <t>F003-0004793</t>
  </si>
  <si>
    <t>OP 0860065</t>
  </si>
  <si>
    <t>F003-0004794</t>
  </si>
  <si>
    <t>OP 6013140</t>
  </si>
  <si>
    <t>F003-0004795</t>
  </si>
  <si>
    <t>REF 84216</t>
  </si>
  <si>
    <t>F003-0004796</t>
  </si>
  <si>
    <t>MOV 12368</t>
  </si>
  <si>
    <t>F003-0004797</t>
  </si>
  <si>
    <t>REF 41147</t>
  </si>
  <si>
    <t>F003-0004798</t>
  </si>
  <si>
    <t>OP 3506697</t>
  </si>
  <si>
    <t>F001-0013903</t>
  </si>
  <si>
    <t>FC01-180</t>
  </si>
  <si>
    <t>SALDO A FAVOR S/1,076.73</t>
  </si>
  <si>
    <t>31-03-2026</t>
  </si>
  <si>
    <t>F003-0004799</t>
  </si>
  <si>
    <t>OP 8302202</t>
  </si>
  <si>
    <t>F003-0004800</t>
  </si>
  <si>
    <t>REF 91262</t>
  </si>
  <si>
    <t>F003-0004801</t>
  </si>
  <si>
    <t>REF 48947</t>
  </si>
  <si>
    <t>F003-0004802</t>
  </si>
  <si>
    <t>REF 51555</t>
  </si>
  <si>
    <t>F001-0013914</t>
  </si>
  <si>
    <t>OP 0810937</t>
  </si>
  <si>
    <t>F001-0013917</t>
  </si>
  <si>
    <t>MOV 12374</t>
  </si>
  <si>
    <t>F001-0013919</t>
  </si>
  <si>
    <t>F001-0013920</t>
  </si>
  <si>
    <t>MVO 12375</t>
  </si>
  <si>
    <t>F003-0004803</t>
  </si>
  <si>
    <t>OP 1335927</t>
  </si>
  <si>
    <t>F003-0004804</t>
  </si>
  <si>
    <t>OP 4150354</t>
  </si>
  <si>
    <t>F003-0004805</t>
  </si>
  <si>
    <t>OP 8587752</t>
  </si>
  <si>
    <t>F003-0004806</t>
  </si>
  <si>
    <t>OP 0174267</t>
  </si>
  <si>
    <t>F003-0004807</t>
  </si>
  <si>
    <t>REF 03417</t>
  </si>
  <si>
    <t>F003-0004808</t>
  </si>
  <si>
    <t>OP 2283476</t>
  </si>
  <si>
    <t>B003-0000348</t>
  </si>
  <si>
    <t>OP2688410</t>
  </si>
  <si>
    <t>B003-0000349</t>
  </si>
  <si>
    <t>B003-0000350</t>
  </si>
  <si>
    <t>F001-0013928</t>
  </si>
  <si>
    <t>OP 2013543</t>
  </si>
  <si>
    <t>F003-0004809</t>
  </si>
  <si>
    <t>MOV 12397</t>
  </si>
  <si>
    <t>F003-0004810</t>
  </si>
  <si>
    <t>REF 24061</t>
  </si>
  <si>
    <t>F003-0004811</t>
  </si>
  <si>
    <t>OP 2110125</t>
  </si>
  <si>
    <t>F003-0004812</t>
  </si>
  <si>
    <t>OP 2041282</t>
  </si>
  <si>
    <t>F003-0004813</t>
  </si>
  <si>
    <t>REF 46605</t>
  </si>
  <si>
    <t>F003-0004814</t>
  </si>
  <si>
    <t>OP 1775875</t>
  </si>
  <si>
    <t>F003-0004815</t>
  </si>
  <si>
    <t>MOV 12414</t>
  </si>
  <si>
    <t>F003-0004816</t>
  </si>
  <si>
    <t>F003-0004817</t>
  </si>
  <si>
    <t>OP 0043732</t>
  </si>
  <si>
    <t>F003-0004818</t>
  </si>
  <si>
    <t>op 2173844</t>
  </si>
  <si>
    <t>F001-0013949</t>
  </si>
  <si>
    <t>OP 0495047</t>
  </si>
  <si>
    <t>F003-0004819</t>
  </si>
  <si>
    <t>OP 0912511</t>
  </si>
  <si>
    <t>F003-0004820</t>
  </si>
  <si>
    <t>MOV 12422</t>
  </si>
  <si>
    <t>F003-0004821</t>
  </si>
  <si>
    <t>REF 12108</t>
  </si>
  <si>
    <t>F003-0004822</t>
  </si>
  <si>
    <t>OP 3589170</t>
  </si>
  <si>
    <t>F003-0004823</t>
  </si>
  <si>
    <t>mov 12428</t>
  </si>
  <si>
    <t>B003-000352</t>
  </si>
  <si>
    <t xml:space="preserve"> OP 3877078</t>
  </si>
  <si>
    <t>B003-000353</t>
  </si>
  <si>
    <t>OP 0943512</t>
  </si>
  <si>
    <t>F003-0004824</t>
  </si>
  <si>
    <t>MOV 12434</t>
  </si>
  <si>
    <t>F003-0004825</t>
  </si>
  <si>
    <t>REF 53548</t>
  </si>
  <si>
    <t>F003-0004826</t>
  </si>
  <si>
    <t>REF 54062</t>
  </si>
  <si>
    <t>F003-0004827</t>
  </si>
  <si>
    <t>F003-0004828</t>
  </si>
  <si>
    <t>OP 6943854</t>
  </si>
  <si>
    <t>F003-0004829</t>
  </si>
  <si>
    <t>REF 22771</t>
  </si>
  <si>
    <t>F001-0013972</t>
  </si>
  <si>
    <t>MOV 12430</t>
  </si>
  <si>
    <t>F003-0004830</t>
  </si>
  <si>
    <t>OP 0150197</t>
  </si>
  <si>
    <t>F003-0004831</t>
  </si>
  <si>
    <t>OP 1631438</t>
  </si>
  <si>
    <t>F003-0004832</t>
  </si>
  <si>
    <t>MOV 12447</t>
  </si>
  <si>
    <t>F003-0004833</t>
  </si>
  <si>
    <t>REF 15454</t>
  </si>
  <si>
    <t>F003-0004834</t>
  </si>
  <si>
    <t>O P 2129848</t>
  </si>
  <si>
    <t>F003-0004835</t>
  </si>
  <si>
    <t xml:space="preserve"> OP 2318821</t>
  </si>
  <si>
    <t>F001-0013979</t>
  </si>
  <si>
    <t>O P 0668719</t>
  </si>
  <si>
    <t>F003-0004836</t>
  </si>
  <si>
    <t>REF 06046</t>
  </si>
  <si>
    <t>F003-0004837</t>
  </si>
  <si>
    <t>OP 2013742</t>
  </si>
  <si>
    <t>F003-0004838</t>
  </si>
  <si>
    <t>REF 01578</t>
  </si>
  <si>
    <t>F003-0004839</t>
  </si>
  <si>
    <t>REF 04347</t>
  </si>
  <si>
    <t>F003-0004840</t>
  </si>
  <si>
    <t>MOV 12466</t>
  </si>
  <si>
    <t>F003-0004841</t>
  </si>
  <si>
    <t>OP 2747595</t>
  </si>
  <si>
    <t>F003-0004842</t>
  </si>
  <si>
    <t>MOV 12475</t>
  </si>
  <si>
    <t>F003-0004843</t>
  </si>
  <si>
    <t>op 2289874</t>
  </si>
  <si>
    <t>F001-0013987</t>
  </si>
  <si>
    <t>REF 93613</t>
  </si>
  <si>
    <t>F004-0008038</t>
  </si>
  <si>
    <t xml:space="preserve"> OP 3618354</t>
  </si>
  <si>
    <t>F003-0004844</t>
  </si>
  <si>
    <t>MOV 12493</t>
  </si>
  <si>
    <t>F003-0004845</t>
  </si>
  <si>
    <t>REF 41336</t>
  </si>
  <si>
    <t>F003-0004846</t>
  </si>
  <si>
    <t>REF 43354</t>
  </si>
  <si>
    <t>F003-0004847</t>
  </si>
  <si>
    <t>OP 0891363</t>
  </si>
  <si>
    <t>VENTA ROCIO SG</t>
  </si>
  <si>
    <t>F003-0004848</t>
  </si>
  <si>
    <t>OP 2053587</t>
  </si>
  <si>
    <t>13-04-2026</t>
  </si>
  <si>
    <t>F003-0004849</t>
  </si>
  <si>
    <t>REF 01963</t>
  </si>
  <si>
    <t>F003-0004850</t>
  </si>
  <si>
    <t>OP 2038446</t>
  </si>
  <si>
    <t>F003-0004851</t>
  </si>
  <si>
    <t>REF 04786</t>
  </si>
  <si>
    <t>F003-0004852</t>
  </si>
  <si>
    <t>REF 32261</t>
  </si>
  <si>
    <t>F003-0004853</t>
  </si>
  <si>
    <t>op 02207687</t>
  </si>
  <si>
    <t>B003-0000354</t>
  </si>
  <si>
    <t>REF 04650</t>
  </si>
  <si>
    <t>B003-0000355</t>
  </si>
  <si>
    <t>REF 04919</t>
  </si>
  <si>
    <t>B003-0000356</t>
  </si>
  <si>
    <t>OP 1534448</t>
  </si>
  <si>
    <t>F004-0008046</t>
  </si>
  <si>
    <t>MVO 12500</t>
  </si>
  <si>
    <t>F001-0014016</t>
  </si>
  <si>
    <t>14-04-2026</t>
  </si>
  <si>
    <t>F003-0004854</t>
  </si>
  <si>
    <t>REF 25432</t>
  </si>
  <si>
    <t>F003-0004855</t>
  </si>
  <si>
    <t>REF 26967</t>
  </si>
  <si>
    <t>F003-0004856</t>
  </si>
  <si>
    <t>OP 2064690</t>
  </si>
  <si>
    <t>F003-0004857</t>
  </si>
  <si>
    <t>op 6074242</t>
  </si>
  <si>
    <t>F003-0004858</t>
  </si>
  <si>
    <t>OP 3353932</t>
  </si>
  <si>
    <t>F003-0004859</t>
  </si>
  <si>
    <t>MOV 12464</t>
  </si>
  <si>
    <t>F003-0004860</t>
  </si>
  <si>
    <t>MOV 12465</t>
  </si>
  <si>
    <t>F003-0004861</t>
  </si>
  <si>
    <t>OP 3659383</t>
  </si>
  <si>
    <t>F001-0014019</t>
  </si>
  <si>
    <t>OP 02225656</t>
  </si>
  <si>
    <t xml:space="preserve">SALDO A FAVOR </t>
  </si>
  <si>
    <t>F001-0014022</t>
  </si>
  <si>
    <t>MOV 12509</t>
  </si>
  <si>
    <t>F001-0014027</t>
  </si>
  <si>
    <t>MOV 12506</t>
  </si>
  <si>
    <t>15-04-2026</t>
  </si>
  <si>
    <t>F003-0004862</t>
  </si>
  <si>
    <t>REF 11651</t>
  </si>
  <si>
    <t>F003-0004863</t>
  </si>
  <si>
    <t>OP 3457448</t>
  </si>
  <si>
    <t>F003-0004864</t>
  </si>
  <si>
    <t>OP 2226311</t>
  </si>
  <si>
    <t>16-04-2026</t>
  </si>
  <si>
    <t>F003-0004865</t>
  </si>
  <si>
    <t>op 2268995</t>
  </si>
  <si>
    <t>F003-0004866</t>
  </si>
  <si>
    <t>REF 71727</t>
  </si>
  <si>
    <t>F003-0004867</t>
  </si>
  <si>
    <t>MOV 12544</t>
  </si>
  <si>
    <t>F003-0004868</t>
  </si>
  <si>
    <t>OP 2121145</t>
  </si>
  <si>
    <t>F003-0004869</t>
  </si>
  <si>
    <t>REF 49633</t>
  </si>
  <si>
    <t>F003-0004870</t>
  </si>
  <si>
    <t>MOV 12548</t>
  </si>
  <si>
    <t>B003-0000357</t>
  </si>
  <si>
    <t>OP 2430860</t>
  </si>
  <si>
    <t>F001-00014062</t>
  </si>
  <si>
    <t>OP 1937868</t>
  </si>
  <si>
    <t>17-04-2026</t>
  </si>
  <si>
    <t>F003-0004871</t>
  </si>
  <si>
    <t>MOV 12555</t>
  </si>
  <si>
    <t>F003-0004872</t>
  </si>
  <si>
    <t>OP 0997794</t>
  </si>
  <si>
    <t>F003-0004873</t>
  </si>
  <si>
    <t>OP 1001867</t>
  </si>
  <si>
    <t>F003-0004874</t>
  </si>
  <si>
    <t>OP 9318908</t>
  </si>
  <si>
    <t>F003-0004875</t>
  </si>
  <si>
    <t>OP 1486844</t>
  </si>
  <si>
    <t>F003-0004876</t>
  </si>
  <si>
    <t>REF 26143</t>
  </si>
  <si>
    <t>F001-0014080</t>
  </si>
  <si>
    <t>OP 2343603</t>
  </si>
  <si>
    <t>F001-0014081</t>
  </si>
  <si>
    <t>MOV 12559</t>
  </si>
  <si>
    <t>18-04-2026</t>
  </si>
  <si>
    <t>F003-0004877</t>
  </si>
  <si>
    <t>OP 0969754</t>
  </si>
  <si>
    <t>F003-0004878</t>
  </si>
  <si>
    <t>OP 1106680</t>
  </si>
  <si>
    <t>20-04-2026</t>
  </si>
  <si>
    <t>F003-0004879</t>
  </si>
  <si>
    <t>OP 02098554</t>
  </si>
  <si>
    <t>F003-0004880</t>
  </si>
  <si>
    <t>REF 40993</t>
  </si>
  <si>
    <t>F003-0004881</t>
  </si>
  <si>
    <t>REF 30650</t>
  </si>
  <si>
    <t>F003-0004882</t>
  </si>
  <si>
    <t>OP 2017294</t>
  </si>
  <si>
    <t>F003-0004883</t>
  </si>
  <si>
    <t>OP 1924369</t>
  </si>
  <si>
    <t>B003-0000358</t>
  </si>
  <si>
    <t>REF 49154</t>
  </si>
  <si>
    <t>21-04-2026</t>
  </si>
  <si>
    <t>F003-0004884</t>
  </si>
  <si>
    <t>F003-0004885</t>
  </si>
  <si>
    <t>OP 2226818</t>
  </si>
  <si>
    <t>F003-0004886</t>
  </si>
  <si>
    <t>op 0143858</t>
  </si>
  <si>
    <t>OP 0145698</t>
  </si>
  <si>
    <t>B003-0000359</t>
  </si>
  <si>
    <t>OP 0214301</t>
  </si>
  <si>
    <t>B003-0000360</t>
  </si>
  <si>
    <t>REF 52205</t>
  </si>
  <si>
    <t>F004-0008110</t>
  </si>
  <si>
    <t>OP 1532571</t>
  </si>
  <si>
    <t>22-04-2026</t>
  </si>
  <si>
    <t>F003-0004887</t>
  </si>
  <si>
    <t>OP 0660283</t>
  </si>
  <si>
    <t>OP 0673816</t>
  </si>
  <si>
    <t>F003-0004888</t>
  </si>
  <si>
    <t>F003-0004889</t>
  </si>
  <si>
    <t>OP 1555773</t>
  </si>
  <si>
    <t>F003-0004890</t>
  </si>
  <si>
    <t>REF 57914</t>
  </si>
  <si>
    <t>F003-0004891</t>
  </si>
  <si>
    <t>F003-0004892</t>
  </si>
  <si>
    <t>REF 57798</t>
  </si>
  <si>
    <t>F004-0008119</t>
  </si>
  <si>
    <t>OP 2517491</t>
  </si>
  <si>
    <t>F001-0014137</t>
  </si>
  <si>
    <t>OP 1898589</t>
  </si>
  <si>
    <t>F001-0014144</t>
  </si>
  <si>
    <t>OP 2636577</t>
  </si>
  <si>
    <t>23-04-2026</t>
  </si>
  <si>
    <t>F003-0004893</t>
  </si>
  <si>
    <t>OP 0546162</t>
  </si>
  <si>
    <t>F003-0004894</t>
  </si>
  <si>
    <t>op 6006930</t>
  </si>
  <si>
    <t>F003-0004895</t>
  </si>
  <si>
    <t>OP 1137916</t>
  </si>
  <si>
    <t>F003-0004896</t>
  </si>
  <si>
    <t>REF 38977</t>
  </si>
  <si>
    <t>F003-0004897</t>
  </si>
  <si>
    <t>F003-0004898</t>
  </si>
  <si>
    <t>F003-0004899</t>
  </si>
  <si>
    <t>B003-0000361</t>
  </si>
  <si>
    <t>REF 33736</t>
  </si>
  <si>
    <t>F001-00014058</t>
  </si>
  <si>
    <t>MOV 12628</t>
  </si>
  <si>
    <t>24-04-2026</t>
  </si>
  <si>
    <t>F003-0004900</t>
  </si>
  <si>
    <t>F003-0004901</t>
  </si>
  <si>
    <t>LINK DE PAGO</t>
  </si>
  <si>
    <t>REF 66735</t>
  </si>
  <si>
    <t>F003-0004902</t>
  </si>
  <si>
    <t>F003-0004903</t>
  </si>
  <si>
    <t>OP 2055449</t>
  </si>
  <si>
    <t>F003-0004904</t>
  </si>
  <si>
    <t>OP 3141317</t>
  </si>
  <si>
    <t>F003-0004905</t>
  </si>
  <si>
    <t>NC03-62</t>
  </si>
  <si>
    <t>OP 6020334</t>
  </si>
  <si>
    <t>F001-0014071</t>
  </si>
  <si>
    <t>OP 2045702</t>
  </si>
  <si>
    <t>F001-0014072</t>
  </si>
  <si>
    <t>OP 2043953</t>
  </si>
  <si>
    <t>F001-0014073</t>
  </si>
  <si>
    <t>OP 2042051</t>
  </si>
  <si>
    <t>25-04-2026</t>
  </si>
  <si>
    <t>F003-0004906</t>
  </si>
  <si>
    <t>OP 2760805</t>
  </si>
  <si>
    <t>F003-0004907</t>
  </si>
  <si>
    <t>MOV 12652</t>
  </si>
  <si>
    <t>F003-0004908</t>
  </si>
  <si>
    <t>MOV 12656</t>
  </si>
  <si>
    <t>27-04-2026</t>
  </si>
  <si>
    <t>F003-0004909</t>
  </si>
  <si>
    <t>REF 23643</t>
  </si>
  <si>
    <t>F003-0004910</t>
  </si>
  <si>
    <t>MOV 12661</t>
  </si>
  <si>
    <t>F003-0004911</t>
  </si>
  <si>
    <t>REF 22740</t>
  </si>
  <si>
    <t>F003-0004912</t>
  </si>
  <si>
    <t>OP 2182861</t>
  </si>
  <si>
    <t>F003-0004913</t>
  </si>
  <si>
    <t>OP 0020087</t>
  </si>
  <si>
    <t>OP 0020105</t>
  </si>
  <si>
    <t>28-04-2026</t>
  </si>
  <si>
    <t>F003-0004914</t>
  </si>
  <si>
    <t>OP 06113061</t>
  </si>
  <si>
    <t>F003-0004915</t>
  </si>
  <si>
    <t>OP 0771331</t>
  </si>
  <si>
    <t>F003-0004916</t>
  </si>
  <si>
    <t>REF 13870</t>
  </si>
  <si>
    <t>F003-0004917</t>
  </si>
  <si>
    <t>MOV 12670</t>
  </si>
  <si>
    <t>F003-0004918</t>
  </si>
  <si>
    <t>OP 0287872</t>
  </si>
  <si>
    <t>F003-0004919</t>
  </si>
  <si>
    <t>OP 2122749</t>
  </si>
  <si>
    <t>F003-0004920</t>
  </si>
  <si>
    <t>OP 2151905</t>
  </si>
  <si>
    <t>F003-0004921</t>
  </si>
  <si>
    <t>OP 6073871</t>
  </si>
  <si>
    <t>F001-0014199</t>
  </si>
  <si>
    <t>OP 2006172</t>
  </si>
  <si>
    <t>B001-0001066</t>
  </si>
  <si>
    <t>VISA CHO</t>
  </si>
  <si>
    <t>29-04-2026</t>
  </si>
  <si>
    <t>F003-0004922</t>
  </si>
  <si>
    <t>OP 02261880</t>
  </si>
  <si>
    <t>F003-0004923</t>
  </si>
  <si>
    <t>OP 2018687</t>
  </si>
  <si>
    <t>F003-0004924</t>
  </si>
  <si>
    <t>MOV 12631</t>
  </si>
  <si>
    <t>F003-0004925</t>
  </si>
  <si>
    <t>REF 03948</t>
  </si>
  <si>
    <t>F003-0004926</t>
  </si>
  <si>
    <t>OP 1385982</t>
  </si>
  <si>
    <t>F003-0004927</t>
  </si>
  <si>
    <t>OP 2059708</t>
  </si>
  <si>
    <t>F003-0004928</t>
  </si>
  <si>
    <t>OP 1901844</t>
  </si>
  <si>
    <t>F003-0004929</t>
  </si>
  <si>
    <t>OP 2184013</t>
  </si>
  <si>
    <t>F003-0004930</t>
  </si>
  <si>
    <t>OP 3470536</t>
  </si>
  <si>
    <t>B003-0000362</t>
  </si>
  <si>
    <t>REF 03229</t>
  </si>
  <si>
    <t>30-04-2026</t>
  </si>
  <si>
    <t>F003-0004931</t>
  </si>
  <si>
    <t>OP 02279910</t>
  </si>
  <si>
    <t>F003-0004932</t>
  </si>
  <si>
    <t>REF 38635</t>
  </si>
  <si>
    <t>F003-0004933</t>
  </si>
  <si>
    <t>VISA LINK</t>
  </si>
  <si>
    <t>REF 11233</t>
  </si>
  <si>
    <t>F003-0004934</t>
  </si>
  <si>
    <t>MOV 12700</t>
  </si>
  <si>
    <t>F003-0004935</t>
  </si>
  <si>
    <t>REF 142.21</t>
  </si>
  <si>
    <t>F003-0004936</t>
  </si>
  <si>
    <t>REF 25271</t>
  </si>
  <si>
    <t>B001-0001069</t>
  </si>
  <si>
    <t>REF 44113</t>
  </si>
  <si>
    <t>F001-00014239</t>
  </si>
  <si>
    <t>MOV 12702</t>
  </si>
  <si>
    <t>F003-0004937</t>
  </si>
  <si>
    <t>OP 2234192</t>
  </si>
  <si>
    <t>F001-0014245</t>
  </si>
  <si>
    <t>OP 2015026</t>
  </si>
  <si>
    <t>F003-0004938</t>
  </si>
  <si>
    <t>OP 2168699</t>
  </si>
  <si>
    <t>F003-0004939</t>
  </si>
  <si>
    <t>REF 02079</t>
  </si>
  <si>
    <t>F001-0014259</t>
  </si>
  <si>
    <t>OP 5539192</t>
  </si>
  <si>
    <t>F003-0004940</t>
  </si>
  <si>
    <t>REF 15120</t>
  </si>
  <si>
    <t>F003-0004941</t>
  </si>
  <si>
    <t>F003-0004942</t>
  </si>
  <si>
    <t>REF 31762</t>
  </si>
  <si>
    <t>F003-0004943</t>
  </si>
  <si>
    <t>F003-0004944</t>
  </si>
  <si>
    <t>F003-0004945</t>
  </si>
  <si>
    <t>F003-0004946</t>
  </si>
  <si>
    <t>F003-0004947</t>
  </si>
  <si>
    <t>F003-0004948</t>
  </si>
  <si>
    <t>MOV 12738</t>
  </si>
  <si>
    <t>F001-0014268</t>
  </si>
  <si>
    <t>OP 2116347</t>
  </si>
  <si>
    <t>F001-0014276</t>
  </si>
  <si>
    <t>F001-0014287</t>
  </si>
  <si>
    <t>OP 4675602</t>
  </si>
  <si>
    <t>F003-0004949</t>
  </si>
  <si>
    <t>OP 0684335</t>
  </si>
  <si>
    <t>F003-0004950</t>
  </si>
  <si>
    <t>OP 0163128</t>
  </si>
  <si>
    <t>F003-0004951</t>
  </si>
  <si>
    <t>REF 40338</t>
  </si>
  <si>
    <t>F003-0004952</t>
  </si>
  <si>
    <t>MOV 12748</t>
  </si>
  <si>
    <t>F003-0004953</t>
  </si>
  <si>
    <t>MOV 12753</t>
  </si>
  <si>
    <t>F003-0004954</t>
  </si>
  <si>
    <t>OP 2106590</t>
  </si>
  <si>
    <t>F001-0014298</t>
  </si>
  <si>
    <t>op 2055085</t>
  </si>
  <si>
    <t>F001-0014304</t>
  </si>
  <si>
    <t>OP 6058024</t>
  </si>
  <si>
    <t>F003-0004955</t>
  </si>
  <si>
    <t>REF 05942</t>
  </si>
  <si>
    <t>F003-0004956</t>
  </si>
  <si>
    <t>F003-0004957</t>
  </si>
  <si>
    <t>REF 03390</t>
  </si>
  <si>
    <t>F003-0004958</t>
  </si>
  <si>
    <t>NC01-180</t>
  </si>
  <si>
    <t>SALDO A FAVOR S/505.81</t>
  </si>
  <si>
    <t>B003-0000363</t>
  </si>
  <si>
    <t>OP 2280899</t>
  </si>
  <si>
    <t>F001-0014314</t>
  </si>
  <si>
    <t>F003-0004960</t>
  </si>
  <si>
    <t>OP 0157166</t>
  </si>
  <si>
    <t>F003-0004961</t>
  </si>
  <si>
    <t>OP 2038353</t>
  </si>
  <si>
    <t>F003-0004962</t>
  </si>
  <si>
    <t>OP 2429369</t>
  </si>
  <si>
    <t>F003-0004963</t>
  </si>
  <si>
    <t>REF 59904</t>
  </si>
  <si>
    <t>F003-0004964</t>
  </si>
  <si>
    <t>OP 0704656</t>
  </si>
  <si>
    <t>F003-0004965</t>
  </si>
  <si>
    <t xml:space="preserve">BCP </t>
  </si>
  <si>
    <t>OP 3245440</t>
  </si>
  <si>
    <t>F003-0004966</t>
  </si>
  <si>
    <t>OP 0948369</t>
  </si>
  <si>
    <t>F003-0004967</t>
  </si>
  <si>
    <t>REF 00024</t>
  </si>
  <si>
    <t>F003-0004968</t>
  </si>
  <si>
    <t>REF 35272</t>
  </si>
  <si>
    <t>F003-0004969</t>
  </si>
  <si>
    <t>OP 1252217</t>
  </si>
  <si>
    <t>B003-0000364</t>
  </si>
  <si>
    <t>OP 0755746</t>
  </si>
  <si>
    <t>F003-0004970</t>
  </si>
  <si>
    <t>OP 0787498</t>
  </si>
  <si>
    <t>F003-0004971</t>
  </si>
  <si>
    <t>MOV 12814</t>
  </si>
  <si>
    <t>F003-0004972</t>
  </si>
  <si>
    <t>OP 2055582</t>
  </si>
  <si>
    <t>F003-0004973</t>
  </si>
  <si>
    <t>REF 54972</t>
  </si>
  <si>
    <t>F003-0004974</t>
  </si>
  <si>
    <t>REF 57537</t>
  </si>
  <si>
    <t>F003-0004975</t>
  </si>
  <si>
    <t>OP 1745661</t>
  </si>
  <si>
    <t>F003-0004976</t>
  </si>
  <si>
    <t>REF 51393</t>
  </si>
  <si>
    <t>F003-0004977</t>
  </si>
  <si>
    <t>REF 49445</t>
  </si>
  <si>
    <t>F003-0004978</t>
  </si>
  <si>
    <t>OP 0744405</t>
  </si>
  <si>
    <t>OP 4428243</t>
  </si>
  <si>
    <t>F003-0004979</t>
  </si>
  <si>
    <t>REF 40300</t>
  </si>
  <si>
    <t>F003-0004980</t>
  </si>
  <si>
    <t>OP 3337818</t>
  </si>
  <si>
    <t>B003-0000365</t>
  </si>
  <si>
    <t>REF 67376</t>
  </si>
  <si>
    <t>F001-0014394</t>
  </si>
  <si>
    <t>op 3818608</t>
  </si>
  <si>
    <t>13-05-2026</t>
  </si>
  <si>
    <t>F003-0004981</t>
  </si>
  <si>
    <t>OP 0161076</t>
  </si>
  <si>
    <t>F003-0004982</t>
  </si>
  <si>
    <t>op 2027045</t>
  </si>
  <si>
    <t>F003-0004983</t>
  </si>
  <si>
    <t>OP 1027789</t>
  </si>
  <si>
    <t>F003-0004984</t>
  </si>
  <si>
    <t>OP 8029185</t>
  </si>
  <si>
    <t>F003-0004985</t>
  </si>
  <si>
    <t>OP 1392139</t>
  </si>
  <si>
    <t>F003-0004986</t>
  </si>
  <si>
    <t>REF 26275</t>
  </si>
  <si>
    <t>F003-0004987</t>
  </si>
  <si>
    <t>OP 2187449</t>
  </si>
  <si>
    <t>F003-0004988</t>
  </si>
  <si>
    <t>OP 2135137</t>
  </si>
  <si>
    <t>F003-0004989</t>
  </si>
  <si>
    <t>REF 22047</t>
  </si>
  <si>
    <t>F003-0004990</t>
  </si>
  <si>
    <t>OP 0969419</t>
  </si>
  <si>
    <t>F001-0014406</t>
  </si>
  <si>
    <t>OP 1928330</t>
  </si>
  <si>
    <t>F001-0014410</t>
  </si>
  <si>
    <t>14-05-2026</t>
  </si>
  <si>
    <t>F003-0004991</t>
  </si>
  <si>
    <t>OP 2984996</t>
  </si>
  <si>
    <t>F003-0004992</t>
  </si>
  <si>
    <t>op 0920527</t>
  </si>
  <si>
    <t>F003-0004993</t>
  </si>
  <si>
    <t>MVO 12848</t>
  </si>
  <si>
    <t>F003-0004994</t>
  </si>
  <si>
    <t>OP 0276766</t>
  </si>
  <si>
    <t>F003-0004995</t>
  </si>
  <si>
    <t>OP 2027019</t>
  </si>
  <si>
    <t>F003-0004996</t>
  </si>
  <si>
    <t>F003-0004997</t>
  </si>
  <si>
    <t>op 3273391</t>
  </si>
  <si>
    <t>F003-0004998</t>
  </si>
  <si>
    <t>OP 3429829</t>
  </si>
  <si>
    <t>F003-0004999</t>
  </si>
  <si>
    <t>OP 0891198</t>
  </si>
  <si>
    <t>F003-0005000</t>
  </si>
  <si>
    <t>OP 2171011</t>
  </si>
  <si>
    <t>F001-0014419</t>
  </si>
  <si>
    <t>OP 2148749</t>
  </si>
  <si>
    <t>F004-0008285</t>
  </si>
  <si>
    <t>OP 2073380</t>
  </si>
  <si>
    <t>F004-0008290</t>
  </si>
  <si>
    <t>OP 2311210</t>
  </si>
  <si>
    <t>15-05-2026</t>
  </si>
  <si>
    <t>F003-0005001</t>
  </si>
  <si>
    <t>OP 2029527</t>
  </si>
  <si>
    <t>F003-0005002</t>
  </si>
  <si>
    <t>OP 1282096</t>
  </si>
  <si>
    <t>F003-0005003</t>
  </si>
  <si>
    <t>OP 2021969</t>
  </si>
  <si>
    <t>F003-0005004</t>
  </si>
  <si>
    <t>MUESTRA</t>
  </si>
  <si>
    <t>F003-0005005</t>
  </si>
  <si>
    <t>OP 2079410</t>
  </si>
  <si>
    <t>F003-0005006</t>
  </si>
  <si>
    <t>REF 39773</t>
  </si>
  <si>
    <t>F003-0005007</t>
  </si>
  <si>
    <t>op 3684689</t>
  </si>
  <si>
    <t>B003-0000366</t>
  </si>
  <si>
    <t>OP 3378155</t>
  </si>
  <si>
    <t>16-05-2026</t>
  </si>
  <si>
    <t>B003-0000367</t>
  </si>
  <si>
    <t>REF 36655</t>
  </si>
  <si>
    <t>F003-0005008</t>
  </si>
  <si>
    <t>REF 39236</t>
  </si>
  <si>
    <t>18-05-2026</t>
  </si>
  <si>
    <t>F003-0005009</t>
  </si>
  <si>
    <t>op 1065380</t>
  </si>
  <si>
    <t>F003-0005010</t>
  </si>
  <si>
    <t>OP 1828731</t>
  </si>
  <si>
    <t>F003-0005011</t>
  </si>
  <si>
    <t>REF 37240</t>
  </si>
  <si>
    <t>F003-0005012</t>
  </si>
  <si>
    <t>MOV 12912</t>
  </si>
  <si>
    <t>F003-0005013</t>
  </si>
  <si>
    <t>OP 3801295</t>
  </si>
  <si>
    <t>B003-0000368</t>
  </si>
  <si>
    <t>OP 1706463</t>
  </si>
  <si>
    <t>F001-0014451</t>
  </si>
  <si>
    <t>op 2047438</t>
  </si>
  <si>
    <t>19-05-2026</t>
  </si>
  <si>
    <t>F003-0005014</t>
  </si>
  <si>
    <t>op 2077666</t>
  </si>
  <si>
    <t>F003-0005015</t>
  </si>
  <si>
    <t>MOV 12924</t>
  </si>
  <si>
    <t>F003-0005016</t>
  </si>
  <si>
    <t>OP 0637018</t>
  </si>
  <si>
    <t>F003-0005017</t>
  </si>
  <si>
    <t>OP 2147928</t>
  </si>
  <si>
    <t>F003-0005018</t>
  </si>
  <si>
    <t>mov 12933</t>
  </si>
  <si>
    <t>F001-0014469</t>
  </si>
  <si>
    <t>OP 1779825</t>
  </si>
  <si>
    <t>F001-0014478</t>
  </si>
  <si>
    <t>REF 48016</t>
  </si>
  <si>
    <t>F001-0014482</t>
  </si>
  <si>
    <t>OP 6085118</t>
  </si>
  <si>
    <t>F001-0014484</t>
  </si>
  <si>
    <t>op 2149794</t>
  </si>
  <si>
    <t>20-05-2026</t>
  </si>
  <si>
    <t>F003-0005019</t>
  </si>
  <si>
    <t>OP 2009677</t>
  </si>
  <si>
    <t>F003-0005020</t>
  </si>
  <si>
    <t>REF 63245</t>
  </si>
  <si>
    <t>F003-0005021</t>
  </si>
  <si>
    <t>REF 14786</t>
  </si>
  <si>
    <t>F003-0005022</t>
  </si>
  <si>
    <t>OP 0565256</t>
  </si>
  <si>
    <t>F003-0005023</t>
  </si>
  <si>
    <t>OP 2304670</t>
  </si>
  <si>
    <t>F003-0005024</t>
  </si>
  <si>
    <t>REF 88361</t>
  </si>
  <si>
    <t>F003-0005025</t>
  </si>
  <si>
    <t>op 2138429</t>
  </si>
  <si>
    <t>F003-0005026</t>
  </si>
  <si>
    <t>REF 14656</t>
  </si>
  <si>
    <t>F003-0005027</t>
  </si>
  <si>
    <t>OP 4180876</t>
  </si>
  <si>
    <t>F001-0014490</t>
  </si>
  <si>
    <t>OP 1373472</t>
  </si>
  <si>
    <t>21-05-2026</t>
  </si>
  <si>
    <t>F03-0005028</t>
  </si>
  <si>
    <t>OP 1149051</t>
  </si>
  <si>
    <t>F03-0005029</t>
  </si>
  <si>
    <t>F03-0005030</t>
  </si>
  <si>
    <t>op 1752803</t>
  </si>
  <si>
    <t>F03-0005031</t>
  </si>
  <si>
    <t>OP 2110919</t>
  </si>
  <si>
    <t>F03-0005032</t>
  </si>
  <si>
    <t>OP 0014396</t>
  </si>
  <si>
    <t>F03-0005033</t>
  </si>
  <si>
    <t>OP 3601648</t>
  </si>
  <si>
    <t>F001-0014507</t>
  </si>
  <si>
    <t>op 2641926</t>
  </si>
  <si>
    <t>22-05-2026</t>
  </si>
  <si>
    <t>F003-0005034</t>
  </si>
  <si>
    <t>OP 0030833</t>
  </si>
  <si>
    <t>F003-0005035</t>
  </si>
  <si>
    <t>REF 36465</t>
  </si>
  <si>
    <t>23-05-2026</t>
  </si>
  <si>
    <t>F003-0005036</t>
  </si>
  <si>
    <t>REF 08917</t>
  </si>
  <si>
    <t>F001-0014511</t>
  </si>
  <si>
    <t>Op 0829290</t>
  </si>
  <si>
    <t>F001-0014515</t>
  </si>
  <si>
    <t>MOV 12963</t>
  </si>
  <si>
    <t>F003-0005037</t>
  </si>
  <si>
    <t>MOV 12967</t>
  </si>
  <si>
    <t>F003-0005038</t>
  </si>
  <si>
    <t>F003-0005039</t>
  </si>
  <si>
    <t>OP 1114023</t>
  </si>
  <si>
    <t>F001-0014524</t>
  </si>
  <si>
    <t>OP 2301888</t>
  </si>
  <si>
    <t>25-05-2026</t>
  </si>
  <si>
    <t>F003-0005040</t>
  </si>
  <si>
    <t>REF 11501</t>
  </si>
  <si>
    <t>F003-0005041</t>
  </si>
  <si>
    <t>p 1152346</t>
  </si>
  <si>
    <t>F003-0005042</t>
  </si>
  <si>
    <t>P 1573404</t>
  </si>
  <si>
    <t>F003-0005043</t>
  </si>
  <si>
    <t>REF 13498</t>
  </si>
  <si>
    <t>F003-0005044</t>
  </si>
  <si>
    <t>OP 4232451</t>
  </si>
  <si>
    <t>F003-0005045</t>
  </si>
  <si>
    <t>REF 12394</t>
  </si>
  <si>
    <t>F003-0005046</t>
  </si>
  <si>
    <t>OP 3373656</t>
  </si>
  <si>
    <t>F003-0005047</t>
  </si>
  <si>
    <t>OP 3639271</t>
  </si>
  <si>
    <t>F003-0005048</t>
  </si>
  <si>
    <t>CRÉDITO</t>
  </si>
  <si>
    <t>B003-0000370</t>
  </si>
  <si>
    <t>OP 0972282</t>
  </si>
  <si>
    <t>F001-0014539</t>
  </si>
  <si>
    <t>OP 2463842</t>
  </si>
  <si>
    <t>26-05-2026</t>
  </si>
  <si>
    <t>F003-000549</t>
  </si>
  <si>
    <t>MOV 12998</t>
  </si>
  <si>
    <t>F003-000550</t>
  </si>
  <si>
    <t>OP 6011890</t>
  </si>
  <si>
    <t>F003-000551</t>
  </si>
  <si>
    <t>op 0021581</t>
  </si>
  <si>
    <t>B003-0000371</t>
  </si>
  <si>
    <t>REF 04387</t>
  </si>
  <si>
    <t>27-05-2026</t>
  </si>
  <si>
    <t>F003-0005052</t>
  </si>
  <si>
    <t>OP 1678573</t>
  </si>
  <si>
    <t>F003-0005053</t>
  </si>
  <si>
    <t>MOV 13004</t>
  </si>
  <si>
    <t>F003-0005054</t>
  </si>
  <si>
    <t>mov 13011</t>
  </si>
  <si>
    <t>F003-0005055</t>
  </si>
  <si>
    <t>OP 0626270</t>
  </si>
  <si>
    <t>F003-0005056</t>
  </si>
  <si>
    <t>OP 2152224</t>
  </si>
  <si>
    <t>F003-0005057</t>
  </si>
  <si>
    <t>REF 21090</t>
  </si>
  <si>
    <t>B003-0000372</t>
  </si>
  <si>
    <t>OP 1377894</t>
  </si>
  <si>
    <t>28-05-2026</t>
  </si>
  <si>
    <t>F003-0005058</t>
  </si>
  <si>
    <t>OP 1001280</t>
  </si>
  <si>
    <t>F003-0005059</t>
  </si>
  <si>
    <t>OP 7889421</t>
  </si>
  <si>
    <t>F003-0005060</t>
  </si>
  <si>
    <t>op 2126153</t>
  </si>
  <si>
    <t>F003-0005061</t>
  </si>
  <si>
    <t>OP 2198824</t>
  </si>
  <si>
    <t>F001-0014591</t>
  </si>
  <si>
    <t>MOV 13017</t>
  </si>
  <si>
    <t>F001-0014599</t>
  </si>
  <si>
    <t>REF 42549</t>
  </si>
  <si>
    <t>F001-0014600</t>
  </si>
  <si>
    <t>op 3767407</t>
  </si>
  <si>
    <t>29-05-2026</t>
  </si>
  <si>
    <t>F003-0005062</t>
  </si>
  <si>
    <t>op 7974453</t>
  </si>
  <si>
    <t>F003-0005063</t>
  </si>
  <si>
    <t>MOV 13030</t>
  </si>
  <si>
    <t>B003-0000373</t>
  </si>
  <si>
    <t>op 2171051</t>
  </si>
  <si>
    <t>B003-0000374</t>
  </si>
  <si>
    <t>op 0026221</t>
  </si>
  <si>
    <t>F001-0014609</t>
  </si>
  <si>
    <t>OP 06088846</t>
  </si>
  <si>
    <t>F001-0014611</t>
  </si>
  <si>
    <t>MV 13031</t>
  </si>
  <si>
    <t>30-05-2026</t>
  </si>
  <si>
    <t>F003-0005064</t>
  </si>
  <si>
    <t>REF 10955</t>
  </si>
  <si>
    <t>F003-0005065</t>
  </si>
  <si>
    <t>MOV 13049</t>
  </si>
  <si>
    <t>F003-0005066</t>
  </si>
  <si>
    <t>MOV 13051</t>
  </si>
  <si>
    <t>F003-0005067</t>
  </si>
  <si>
    <t>OP 2058789</t>
  </si>
  <si>
    <t>F001-0014625</t>
  </si>
  <si>
    <t>OP 6012555</t>
  </si>
  <si>
    <t>F003-0005068</t>
  </si>
  <si>
    <t>MOV 13063</t>
  </si>
  <si>
    <t>F003-0005069</t>
  </si>
  <si>
    <t>OP 3319818</t>
  </si>
  <si>
    <t>F003-0005070</t>
  </si>
  <si>
    <t>REF 23918</t>
  </si>
  <si>
    <t>F001-0014638</t>
  </si>
  <si>
    <t>OP 2098889</t>
  </si>
  <si>
    <t>F001-0014647</t>
  </si>
  <si>
    <t>OP 0867815</t>
  </si>
  <si>
    <t>F003-0005071</t>
  </si>
  <si>
    <t>REF 22940</t>
  </si>
  <si>
    <t>F003-0005072</t>
  </si>
  <si>
    <t>OP 1228804</t>
  </si>
  <si>
    <t>F003-0005073</t>
  </si>
  <si>
    <t>OP 02251160</t>
  </si>
  <si>
    <t>F003-0005074</t>
  </si>
  <si>
    <t>REF 28114</t>
  </si>
  <si>
    <t>REF 28223</t>
  </si>
  <si>
    <t>F003-0005075</t>
  </si>
  <si>
    <t>OP 2256205</t>
  </si>
  <si>
    <t>FACTURA CHORRILLOS</t>
  </si>
  <si>
    <t>F003-0005076</t>
  </si>
  <si>
    <t>REF 29292</t>
  </si>
  <si>
    <t>F003-0005077</t>
  </si>
  <si>
    <t>REF 29265</t>
  </si>
  <si>
    <t>F003-0005078</t>
  </si>
  <si>
    <t>OP 4496455</t>
  </si>
  <si>
    <t>F001-0014658</t>
  </si>
  <si>
    <t>MOV 13079</t>
  </si>
  <si>
    <t>F001-0014660</t>
  </si>
  <si>
    <t>OP 2395141</t>
  </si>
  <si>
    <t>F001-0014664</t>
  </si>
  <si>
    <t>OP 2067772</t>
  </si>
  <si>
    <t>F03-0005079</t>
  </si>
  <si>
    <t>MOV 13094</t>
  </si>
  <si>
    <t>F03-0005080</t>
  </si>
  <si>
    <t>REF 34877</t>
  </si>
  <si>
    <t>F03-0005081</t>
  </si>
  <si>
    <t>MOV 13093</t>
  </si>
  <si>
    <t>B003-0000375</t>
  </si>
  <si>
    <t>MOV 13100</t>
  </si>
  <si>
    <t>F001-0014680</t>
  </si>
  <si>
    <t>OP 2095237</t>
  </si>
  <si>
    <t>F001-0014681</t>
  </si>
  <si>
    <t>CREDITO 7 DÍAS</t>
  </si>
  <si>
    <t>F003-0005082</t>
  </si>
  <si>
    <t>REF 18558</t>
  </si>
  <si>
    <t>F003-0005083</t>
  </si>
  <si>
    <t>OP 02075680</t>
  </si>
  <si>
    <t>F003-0005084</t>
  </si>
  <si>
    <t>MOV 13102</t>
  </si>
  <si>
    <t>F003-0005085</t>
  </si>
  <si>
    <t>MOV 13105</t>
  </si>
  <si>
    <t>F003-0005086</t>
  </si>
  <si>
    <t>OP 1954793</t>
  </si>
  <si>
    <t>F003-0005087</t>
  </si>
  <si>
    <t>REF 10304</t>
  </si>
  <si>
    <t>F003-0005088</t>
  </si>
  <si>
    <t>REF 14749</t>
  </si>
  <si>
    <t>F003-0005089</t>
  </si>
  <si>
    <t>REF 16705</t>
  </si>
  <si>
    <t>F003-0005090</t>
  </si>
  <si>
    <t>OP 0308090</t>
  </si>
  <si>
    <t>F003-0005091</t>
  </si>
  <si>
    <t>OP 2198839</t>
  </si>
  <si>
    <t>F001-0014694</t>
  </si>
  <si>
    <t>OP 1377603</t>
  </si>
  <si>
    <t>F001-0014698</t>
  </si>
  <si>
    <t>OP 2083980</t>
  </si>
  <si>
    <t>SALDO PARA UNA PRÓXIMA FACTURA</t>
  </si>
  <si>
    <t>F003-0005092</t>
  </si>
  <si>
    <t xml:space="preserve">VISA </t>
  </si>
  <si>
    <t>REF 99736</t>
  </si>
  <si>
    <t>F003-0005093</t>
  </si>
  <si>
    <t>MOV 13112</t>
  </si>
  <si>
    <t>F003-0005094</t>
  </si>
  <si>
    <t>REF 28570</t>
  </si>
  <si>
    <t>F003-0005095</t>
  </si>
  <si>
    <t>MOV 13114</t>
  </si>
  <si>
    <t>F003-0005096</t>
  </si>
  <si>
    <t>OP 6030228</t>
  </si>
  <si>
    <t>F001-0014722</t>
  </si>
  <si>
    <t>OP 3445812</t>
  </si>
  <si>
    <t>F003-0005097</t>
  </si>
  <si>
    <t>REF 94073</t>
  </si>
  <si>
    <t>F003-0005098</t>
  </si>
  <si>
    <t>op 6018967</t>
  </si>
  <si>
    <t>F004-0008455</t>
  </si>
  <si>
    <t>op 03866184</t>
  </si>
  <si>
    <t>F001-0014726</t>
  </si>
  <si>
    <t>OP 0719670</t>
  </si>
  <si>
    <t>F003-0005099</t>
  </si>
  <si>
    <t>OP 0740162</t>
  </si>
  <si>
    <t>F003-0005100</t>
  </si>
  <si>
    <t>REF 21778</t>
  </si>
  <si>
    <t>F003-0005101</t>
  </si>
  <si>
    <t>OP 0814871</t>
  </si>
  <si>
    <t>F003-0005102</t>
  </si>
  <si>
    <t>OP 9035601</t>
  </si>
  <si>
    <t>F003-0005103</t>
  </si>
  <si>
    <t>OP 1797257</t>
  </si>
  <si>
    <t>B003-0000376</t>
  </si>
  <si>
    <t>REF 20263</t>
  </si>
  <si>
    <t>F003-0005104</t>
  </si>
  <si>
    <t>REF 11376</t>
  </si>
  <si>
    <t>F003-0005105</t>
  </si>
  <si>
    <t>REF 26426</t>
  </si>
  <si>
    <t>F003-0005106</t>
  </si>
  <si>
    <t>OP 2163612</t>
  </si>
  <si>
    <t>F003-0005107</t>
  </si>
  <si>
    <t>OP 0818861</t>
  </si>
  <si>
    <t>F001-0014758</t>
  </si>
  <si>
    <t>OP 2092578</t>
  </si>
  <si>
    <t>F003-0005108</t>
  </si>
  <si>
    <t>OP 2008053</t>
  </si>
  <si>
    <t>F003-0005109</t>
  </si>
  <si>
    <t>OP 0919582</t>
  </si>
  <si>
    <t>F003-0005110</t>
  </si>
  <si>
    <t>REF 28254</t>
  </si>
  <si>
    <t>F003-0005111</t>
  </si>
  <si>
    <t>REF 23949</t>
  </si>
  <si>
    <t>F003-0005112</t>
  </si>
  <si>
    <t>MOV 13185</t>
  </si>
  <si>
    <t>F003-0005113</t>
  </si>
  <si>
    <t>REF 23004</t>
  </si>
  <si>
    <t>F003-0005114</t>
  </si>
  <si>
    <t>OP 3369868</t>
  </si>
  <si>
    <t>F003-0005115</t>
  </si>
  <si>
    <t>OP 2084541</t>
  </si>
  <si>
    <t>B003-0000377</t>
  </si>
  <si>
    <t>REF 20512</t>
  </si>
  <si>
    <t>F003-0005116</t>
  </si>
  <si>
    <t>MOV 13193</t>
  </si>
  <si>
    <t>F003-0005117</t>
  </si>
  <si>
    <t>OP 4151394</t>
  </si>
  <si>
    <t>F003-0005118</t>
  </si>
  <si>
    <t>OP 2130833</t>
  </si>
  <si>
    <t>F003-0005119</t>
  </si>
  <si>
    <t>OP 3427705</t>
  </si>
  <si>
    <t>F001-0014787</t>
  </si>
  <si>
    <t>OP 2139721</t>
  </si>
  <si>
    <t>F003-0005120</t>
  </si>
  <si>
    <t>REF 31612</t>
  </si>
  <si>
    <t>F003-0005121</t>
  </si>
  <si>
    <t>REF 51024</t>
  </si>
  <si>
    <t>F003-0005122</t>
  </si>
  <si>
    <t>OP 2079647</t>
  </si>
  <si>
    <t>F003-0005123</t>
  </si>
  <si>
    <t>O P 1880045</t>
  </si>
  <si>
    <t>F003-0005124</t>
  </si>
  <si>
    <t>OP 3387627</t>
  </si>
  <si>
    <t>F003-0005125</t>
  </si>
  <si>
    <t>OP 3590767</t>
  </si>
  <si>
    <t>B003-0000378</t>
  </si>
  <si>
    <t>OP 1615910</t>
  </si>
  <si>
    <t>F001-0014793</t>
  </si>
  <si>
    <t>13-06-2026</t>
  </si>
  <si>
    <t>F003-0005126</t>
  </si>
  <si>
    <t>OP 2296454</t>
  </si>
  <si>
    <t>F003-0005127</t>
  </si>
  <si>
    <t>MOV 13207</t>
  </si>
  <si>
    <t>F003-0005128</t>
  </si>
  <si>
    <t>MOV 13208</t>
  </si>
  <si>
    <t>F001-0014803</t>
  </si>
  <si>
    <t>MOV 13203</t>
  </si>
  <si>
    <t>F001-0014807</t>
  </si>
  <si>
    <t>OP 0373143</t>
  </si>
  <si>
    <t>15-06-2026</t>
  </si>
  <si>
    <t>F003-0005129</t>
  </si>
  <si>
    <t>REF 05590</t>
  </si>
  <si>
    <t>REF 51040</t>
  </si>
  <si>
    <t>16-06-2026</t>
  </si>
  <si>
    <t>F003-0005130</t>
  </si>
  <si>
    <t>REF 06139</t>
  </si>
  <si>
    <t>F003-0005131</t>
  </si>
  <si>
    <t>REF 06300</t>
  </si>
  <si>
    <t>F003-0005132</t>
  </si>
  <si>
    <t>MOV 13217</t>
  </si>
  <si>
    <t>F003-0005133</t>
  </si>
  <si>
    <t>MOV 13218</t>
  </si>
  <si>
    <t>F003-0005134</t>
  </si>
  <si>
    <t>OP 3840641</t>
  </si>
  <si>
    <t>F003-0005135</t>
  </si>
  <si>
    <t>OP 3969304</t>
  </si>
  <si>
    <t>F004-0008508</t>
  </si>
  <si>
    <t>CREDITO 15 DÍAS</t>
  </si>
  <si>
    <t>F001-0014820</t>
  </si>
  <si>
    <t>OP 2060120</t>
  </si>
  <si>
    <t>F003-0005136</t>
  </si>
  <si>
    <t>OP 4963541</t>
  </si>
  <si>
    <t>F003-0005137</t>
  </si>
  <si>
    <t>MOV 13222</t>
  </si>
  <si>
    <t>F003-0005138</t>
  </si>
  <si>
    <t>REF 50166</t>
  </si>
  <si>
    <t>REF 5156</t>
  </si>
  <si>
    <t>F003-0005139</t>
  </si>
  <si>
    <t>OP 6026342</t>
  </si>
  <si>
    <t>F003-0005140</t>
  </si>
  <si>
    <t>OP 6029521</t>
  </si>
  <si>
    <t>F003-0005141</t>
  </si>
  <si>
    <t>MOV 13233</t>
  </si>
  <si>
    <t>F003-0005142</t>
  </si>
  <si>
    <t>OP 2202131</t>
  </si>
  <si>
    <t>F001-0014830</t>
  </si>
  <si>
    <t>F01-0014835</t>
  </si>
  <si>
    <t>REF 20855</t>
  </si>
  <si>
    <t>17-06-2026</t>
  </si>
  <si>
    <t>F003-0005143</t>
  </si>
  <si>
    <t>OP 2734458</t>
  </si>
  <si>
    <t>F003-0005144</t>
  </si>
  <si>
    <t>OP 0979222</t>
  </si>
  <si>
    <t>F003-0005145</t>
  </si>
  <si>
    <t>OP 0253677</t>
  </si>
  <si>
    <t>F003-0005146</t>
  </si>
  <si>
    <t>OP 7057028</t>
  </si>
  <si>
    <t>VENTA YULIMAR</t>
  </si>
  <si>
    <t>F003-0005147</t>
  </si>
  <si>
    <t>OP 2058059</t>
  </si>
  <si>
    <t>F003-0005148</t>
  </si>
  <si>
    <t>OP 8575605</t>
  </si>
  <si>
    <t>F001-0014848</t>
  </si>
  <si>
    <t>F001-0014853</t>
  </si>
  <si>
    <t>OP 2118112</t>
  </si>
  <si>
    <t>18-06-2026</t>
  </si>
  <si>
    <t>F003-0005149</t>
  </si>
  <si>
    <t>F003-0005150</t>
  </si>
  <si>
    <t>OP 2025878</t>
  </si>
  <si>
    <t>F003-0005151</t>
  </si>
  <si>
    <t>OP 6010818</t>
  </si>
  <si>
    <t>F003-0005152</t>
  </si>
  <si>
    <t>OP 6032555</t>
  </si>
  <si>
    <t>F003-0005153</t>
  </si>
  <si>
    <t>REF 34399</t>
  </si>
  <si>
    <t>F003-0005154</t>
  </si>
  <si>
    <t>MOV 13263</t>
  </si>
  <si>
    <t>F003-0005155</t>
  </si>
  <si>
    <t>OP 3873172</t>
  </si>
  <si>
    <t>B003-0000379</t>
  </si>
  <si>
    <t>OP 8917895</t>
  </si>
  <si>
    <t>19-06-2026</t>
  </si>
  <si>
    <t>F003-0005156</t>
  </si>
  <si>
    <t>OP 04076300</t>
  </si>
  <si>
    <t>F003-0005157</t>
  </si>
  <si>
    <t>MOV 13265</t>
  </si>
  <si>
    <t>F003-0005158</t>
  </si>
  <si>
    <t>mov 13264</t>
  </si>
  <si>
    <t>F003-0005159</t>
  </si>
  <si>
    <t>OP 1008992</t>
  </si>
  <si>
    <t>F003-0005160</t>
  </si>
  <si>
    <t>MOV 13272</t>
  </si>
  <si>
    <t>F003-0005161</t>
  </si>
  <si>
    <t>REF 47097</t>
  </si>
  <si>
    <t>F003-0005162</t>
  </si>
  <si>
    <t>MOV 13276</t>
  </si>
  <si>
    <t>F001-0014880</t>
  </si>
  <si>
    <t>F001-0014878</t>
  </si>
  <si>
    <t>REF 21404</t>
  </si>
  <si>
    <t>20-06-2026</t>
  </si>
  <si>
    <t>F003-0005163</t>
  </si>
  <si>
    <t>REF 59047</t>
  </si>
  <si>
    <t>B003-0000380</t>
  </si>
  <si>
    <t>OP 2424291</t>
  </si>
  <si>
    <t>22-06-2026</t>
  </si>
  <si>
    <t>F003-0005164</t>
  </si>
  <si>
    <t>REF 30594</t>
  </si>
  <si>
    <t>F003-0005165</t>
  </si>
  <si>
    <t>MOV 13302</t>
  </si>
  <si>
    <t>F003-0005166</t>
  </si>
  <si>
    <t>REF 33826</t>
  </si>
  <si>
    <t>B003-0000381</t>
  </si>
  <si>
    <t>B003-0000382</t>
  </si>
  <si>
    <t>REF 27381</t>
  </si>
  <si>
    <t>23-06-2026</t>
  </si>
  <si>
    <t>F003-0005167</t>
  </si>
  <si>
    <t>OP 2027032</t>
  </si>
  <si>
    <t>F003-0005168</t>
  </si>
  <si>
    <t>F003-0005169</t>
  </si>
  <si>
    <t>REF 01193</t>
  </si>
  <si>
    <t>F003-0005170</t>
  </si>
  <si>
    <t>op 8617666</t>
  </si>
  <si>
    <t>F003-0005171</t>
  </si>
  <si>
    <t>op 3091479</t>
  </si>
  <si>
    <t>F003-0005172</t>
  </si>
  <si>
    <t>MOV 13318</t>
  </si>
  <si>
    <t>B003-0000383</t>
  </si>
  <si>
    <t>OP 2082228</t>
  </si>
  <si>
    <t>F004-0008564</t>
  </si>
  <si>
    <t>OP 1839419</t>
  </si>
  <si>
    <t>24-06-2026</t>
  </si>
  <si>
    <t>F003-0005173</t>
  </si>
  <si>
    <t>OP 0721617</t>
  </si>
  <si>
    <t>F003-0005174</t>
  </si>
  <si>
    <t>REF 79660</t>
  </si>
  <si>
    <t>F003-0005175</t>
  </si>
  <si>
    <t>OP 2311684</t>
  </si>
  <si>
    <t>F003-0005176</t>
  </si>
  <si>
    <t>OP 2380793</t>
  </si>
  <si>
    <t>F003-0005177</t>
  </si>
  <si>
    <t>REF 03900</t>
  </si>
  <si>
    <t>F001-0014941</t>
  </si>
  <si>
    <t>MOV 13323</t>
  </si>
  <si>
    <t>25-06-2026</t>
  </si>
  <si>
    <t>F003-0005178</t>
  </si>
  <si>
    <t>OP 02230399</t>
  </si>
  <si>
    <t>F003-0005179</t>
  </si>
  <si>
    <t>OP 0444799</t>
  </si>
  <si>
    <t>F003-0005180</t>
  </si>
  <si>
    <t>OP 1977061</t>
  </si>
  <si>
    <t>F003-0005181</t>
  </si>
  <si>
    <t>mov 13343</t>
  </si>
  <si>
    <t>B003-0000384</t>
  </si>
  <si>
    <t>REF 07773</t>
  </si>
  <si>
    <t>26-06-2026</t>
  </si>
  <si>
    <t>F003-0005182</t>
  </si>
  <si>
    <t>OP 0972208</t>
  </si>
  <si>
    <t>F003-0005183</t>
  </si>
  <si>
    <t>OP 1140414</t>
  </si>
  <si>
    <t>F003-0005184</t>
  </si>
  <si>
    <t>OP 2295743</t>
  </si>
  <si>
    <t>F003-0005185</t>
  </si>
  <si>
    <t>OP 4271476</t>
  </si>
  <si>
    <t>27-06-2026</t>
  </si>
  <si>
    <t>F003-0005186</t>
  </si>
  <si>
    <t>OP 4488161</t>
  </si>
  <si>
    <t>F003-0005187</t>
  </si>
  <si>
    <t>MOV 13367</t>
  </si>
  <si>
    <t>F003-0005188</t>
  </si>
  <si>
    <t>OP 1254892</t>
  </si>
  <si>
    <t>F003-0005189</t>
  </si>
  <si>
    <t>OP 1666141</t>
  </si>
  <si>
    <t>F003-0005190</t>
  </si>
  <si>
    <t>MOV 13373</t>
  </si>
  <si>
    <t>F003-0005191</t>
  </si>
  <si>
    <t>OP 2063522</t>
  </si>
  <si>
    <t>30-06-2026</t>
  </si>
  <si>
    <t>F003-0005192</t>
  </si>
  <si>
    <t>OP 2036315</t>
  </si>
  <si>
    <t>F003-0005193</t>
  </si>
  <si>
    <t>OP 02288779</t>
  </si>
  <si>
    <t>F003-0005194</t>
  </si>
  <si>
    <t>OP 2231836</t>
  </si>
  <si>
    <t>F003-0005195</t>
  </si>
  <si>
    <t>REF 03237</t>
  </si>
  <si>
    <t>B003-0000385</t>
  </si>
  <si>
    <t>REF 59120</t>
  </si>
  <si>
    <t>F003-0005196</t>
  </si>
  <si>
    <t>OP 02368208</t>
  </si>
  <si>
    <t>F003-0005197</t>
  </si>
  <si>
    <t>op 2019386</t>
  </si>
  <si>
    <t>F003-0005198</t>
  </si>
  <si>
    <t>OP 2965875</t>
  </si>
  <si>
    <t>F003-0005199</t>
  </si>
  <si>
    <t>OP 6047321</t>
  </si>
  <si>
    <t>F003-0005200</t>
  </si>
  <si>
    <t>OP 6061472</t>
  </si>
  <si>
    <t>F003-0005201</t>
  </si>
  <si>
    <t>MOV 13403</t>
  </si>
  <si>
    <t>F003-0005202</t>
  </si>
  <si>
    <t>OP 2119432</t>
  </si>
  <si>
    <t>F003-0005203</t>
  </si>
  <si>
    <t>MOV 13405</t>
  </si>
  <si>
    <t>F001-0015001</t>
  </si>
  <si>
    <t>OP 05519839</t>
  </si>
  <si>
    <t>F003-0005204</t>
  </si>
  <si>
    <t>OP 1571968</t>
  </si>
  <si>
    <t>F003-0005205</t>
  </si>
  <si>
    <t>REF 59647</t>
  </si>
  <si>
    <t>F003-0005206</t>
  </si>
  <si>
    <t>OP 0092428</t>
  </si>
  <si>
    <t>F003-0005207</t>
  </si>
  <si>
    <t>OP 0999776</t>
  </si>
  <si>
    <t>F003-0005208</t>
  </si>
  <si>
    <t>MOV 13417</t>
  </si>
  <si>
    <t>F001-0015025</t>
  </si>
  <si>
    <t>OP 4756701</t>
  </si>
  <si>
    <t>F001-0015026</t>
  </si>
  <si>
    <t>OP 4922049</t>
  </si>
  <si>
    <t>F003-0005209</t>
  </si>
  <si>
    <t>op 2251175</t>
  </si>
  <si>
    <t>F003-0005210</t>
  </si>
  <si>
    <t>OP 4733962</t>
  </si>
  <si>
    <t>F003-0005211</t>
  </si>
  <si>
    <t>OP 0851795</t>
  </si>
  <si>
    <t>F003-0005212</t>
  </si>
  <si>
    <t>OP 2012434</t>
  </si>
  <si>
    <t>F003-0005213</t>
  </si>
  <si>
    <t>OP 1160768</t>
  </si>
  <si>
    <t>F003-0005214</t>
  </si>
  <si>
    <t>OP 1141328</t>
  </si>
  <si>
    <t>F003-0005215</t>
  </si>
  <si>
    <t>MOV 13420</t>
  </si>
  <si>
    <t>F003-0005216</t>
  </si>
  <si>
    <t>MOV 13414</t>
  </si>
  <si>
    <t>F003-0005217</t>
  </si>
  <si>
    <t>MOV 13435</t>
  </si>
  <si>
    <t>F003-0005218</t>
  </si>
  <si>
    <t>OP 2303046</t>
  </si>
  <si>
    <t>B003-0000386</t>
  </si>
  <si>
    <t>REF 13579</t>
  </si>
  <si>
    <t>F004-0008636</t>
  </si>
  <si>
    <t>op 3798067</t>
  </si>
  <si>
    <t>F001-0015045</t>
  </si>
  <si>
    <t>F003-0005219</t>
  </si>
  <si>
    <t>MOV 13444</t>
  </si>
  <si>
    <t>F003-0005220</t>
  </si>
  <si>
    <t>MOV 13445</t>
  </si>
  <si>
    <t>F003-0005221</t>
  </si>
  <si>
    <t>OP 2167222</t>
  </si>
  <si>
    <t>F003-0005222</t>
  </si>
  <si>
    <t>REF 56493</t>
  </si>
  <si>
    <t>F003-0005223</t>
  </si>
  <si>
    <t>OP 2596539</t>
  </si>
  <si>
    <t>F003-0005224</t>
  </si>
  <si>
    <t>OP 4657979</t>
  </si>
  <si>
    <t>B003-0000387</t>
  </si>
  <si>
    <t>MOV 13460</t>
  </si>
  <si>
    <t>F001-0015059</t>
  </si>
  <si>
    <t>MOV 13555</t>
  </si>
  <si>
    <t>F001-0015070</t>
  </si>
  <si>
    <t>OP 3977802</t>
  </si>
  <si>
    <t>F003-0005225</t>
  </si>
  <si>
    <t>OP 0956049</t>
  </si>
  <si>
    <t>F003-0005226</t>
  </si>
  <si>
    <t>OP 04956671</t>
  </si>
  <si>
    <t>F003-0005227</t>
  </si>
  <si>
    <t>OP 1853702</t>
  </si>
  <si>
    <t>F003-0005228</t>
  </si>
  <si>
    <t>OP 2061023</t>
  </si>
  <si>
    <t>F003-0005229</t>
  </si>
  <si>
    <t>OP 2019246</t>
  </si>
  <si>
    <t>F003-0005230</t>
  </si>
  <si>
    <t>REF 10067</t>
  </si>
  <si>
    <t>F003-0005231</t>
  </si>
  <si>
    <t>OP 6070484</t>
  </si>
  <si>
    <t>B003-0000388</t>
  </si>
  <si>
    <t>OP 2385880</t>
  </si>
  <si>
    <t>F003-0005232</t>
  </si>
  <si>
    <t>REF 23987</t>
  </si>
  <si>
    <t>F003-0005233</t>
  </si>
  <si>
    <t>MOV 13487</t>
  </si>
  <si>
    <t>F003-0005234</t>
  </si>
  <si>
    <t>OP 2156016</t>
  </si>
  <si>
    <t>F003-0005235</t>
  </si>
  <si>
    <t>MOV 13485</t>
  </si>
  <si>
    <t>F003-0005236</t>
  </si>
  <si>
    <t>F004-0008670</t>
  </si>
  <si>
    <t>MOV 13488</t>
  </si>
  <si>
    <t>F001-0015094</t>
  </si>
  <si>
    <t>OP 0711668</t>
  </si>
  <si>
    <t>F003-0005237</t>
  </si>
  <si>
    <t>REF 53120</t>
  </si>
  <si>
    <t>F003-0005238</t>
  </si>
  <si>
    <t>MOV 13509</t>
  </si>
  <si>
    <t>F003-0005239</t>
  </si>
  <si>
    <t>MOV 13510</t>
  </si>
  <si>
    <t>F003-0005240</t>
  </si>
  <si>
    <t>REF 58237</t>
  </si>
  <si>
    <t>F003-0005241</t>
  </si>
  <si>
    <t>OP 1133846</t>
  </si>
  <si>
    <t>F003-0005242</t>
  </si>
  <si>
    <t>MOV 13516</t>
  </si>
  <si>
    <t>F003-0005243</t>
  </si>
  <si>
    <t>op 4313820</t>
  </si>
  <si>
    <t>B003-0000389</t>
  </si>
  <si>
    <t>REF 42830</t>
  </si>
  <si>
    <t>B003-0000390</t>
  </si>
  <si>
    <t>REF 43974</t>
  </si>
  <si>
    <t>F003-0005244</t>
  </si>
  <si>
    <t>MOV 13531</t>
  </si>
  <si>
    <t>F003-0005245</t>
  </si>
  <si>
    <t>OP 0910827</t>
  </si>
  <si>
    <t>F003-0005246</t>
  </si>
  <si>
    <t>OP 1219187</t>
  </si>
  <si>
    <t>F003-0005247</t>
  </si>
  <si>
    <t>OP 1605518</t>
  </si>
  <si>
    <t>F003-0005248</t>
  </si>
  <si>
    <t>OP 0381224</t>
  </si>
  <si>
    <t>13-07-2026</t>
  </si>
  <si>
    <t>F003-0005249</t>
  </si>
  <si>
    <t>REF 41911</t>
  </si>
  <si>
    <t>F003-0005250</t>
  </si>
  <si>
    <t>OP 2080515</t>
  </si>
  <si>
    <t>F003-0005251</t>
  </si>
  <si>
    <t>MOV 13550</t>
  </si>
  <si>
    <t>F003-0005252</t>
  </si>
  <si>
    <t>OP 3238422</t>
  </si>
  <si>
    <t>F003-0005253</t>
  </si>
  <si>
    <t>REF 59791</t>
  </si>
  <si>
    <t>F003-0005254</t>
  </si>
  <si>
    <t>OP 2030805</t>
  </si>
  <si>
    <t>F003-0005255</t>
  </si>
  <si>
    <t>REF 90905</t>
  </si>
  <si>
    <t>F003-0005256</t>
  </si>
  <si>
    <t>REF 54770</t>
  </si>
  <si>
    <t>F003-0005257</t>
  </si>
  <si>
    <t>FC003-0066</t>
  </si>
  <si>
    <t>F004-0008719</t>
  </si>
  <si>
    <t>F001-0015166</t>
  </si>
  <si>
    <t>OP 2227523</t>
  </si>
  <si>
    <t>14-07-2026</t>
  </si>
  <si>
    <t>F003-0005258</t>
  </si>
  <si>
    <t>OP 1733571</t>
  </si>
  <si>
    <t>F003-0005259</t>
  </si>
  <si>
    <t>MOV 13558</t>
  </si>
  <si>
    <t>F003-0005260</t>
  </si>
  <si>
    <t>op 2835951</t>
  </si>
  <si>
    <t>F003-0005261</t>
  </si>
  <si>
    <t>op 1921588</t>
  </si>
  <si>
    <t>F003-0005262</t>
  </si>
  <si>
    <t>OP 3709925</t>
  </si>
  <si>
    <t>F001-0015169</t>
  </si>
  <si>
    <t>OP 0768422</t>
  </si>
  <si>
    <t>F001-0015176</t>
  </si>
  <si>
    <t>OP 0641591</t>
  </si>
  <si>
    <t>F001-0015177</t>
  </si>
  <si>
    <t>MOV 13562</t>
  </si>
  <si>
    <t>15-07-2026</t>
  </si>
  <si>
    <t>F003-0005263</t>
  </si>
  <si>
    <t>MOV 13587</t>
  </si>
  <si>
    <t>17-07-2026</t>
  </si>
  <si>
    <t>F003-0005264</t>
  </si>
  <si>
    <t>MVO 13575</t>
  </si>
  <si>
    <t>F003-0005265</t>
  </si>
  <si>
    <t>OP 1694302</t>
  </si>
  <si>
    <t>F003-0005266</t>
  </si>
  <si>
    <t>OP 2266110</t>
  </si>
  <si>
    <t>F003-0005267</t>
  </si>
  <si>
    <t>OP 6051170</t>
  </si>
  <si>
    <t>F003-0005268</t>
  </si>
  <si>
    <t>F003-0005269</t>
  </si>
  <si>
    <t>OP 2234757</t>
  </si>
  <si>
    <t>F003-0005270</t>
  </si>
  <si>
    <t>F001-0015189</t>
  </si>
  <si>
    <t>F001-0015190</t>
  </si>
  <si>
    <t>OP 7066787</t>
  </si>
  <si>
    <t>16-07-2026</t>
  </si>
  <si>
    <t>F003-0005271</t>
  </si>
  <si>
    <t>OP 02270031</t>
  </si>
  <si>
    <t>F003-0005272</t>
  </si>
  <si>
    <t>OP 0966487</t>
  </si>
  <si>
    <t>F003-0005273</t>
  </si>
  <si>
    <t>OP 2005939</t>
  </si>
  <si>
    <t>OP 7593969</t>
  </si>
  <si>
    <t>F003-0005274</t>
  </si>
  <si>
    <t>F003-0005275</t>
  </si>
  <si>
    <t>REF 66421</t>
  </si>
  <si>
    <t>F003-0005276</t>
  </si>
  <si>
    <t>op 3744116</t>
  </si>
  <si>
    <t>F003-0005277</t>
  </si>
  <si>
    <t>OP 06099428</t>
  </si>
  <si>
    <t>F003-0005278</t>
  </si>
  <si>
    <t>REF 49359</t>
  </si>
  <si>
    <t>F003-0005279</t>
  </si>
  <si>
    <t>REF 49704</t>
  </si>
  <si>
    <t>F003-0005280</t>
  </si>
  <si>
    <t>OP 2012783</t>
  </si>
  <si>
    <t>F003-0005281</t>
  </si>
  <si>
    <t>MOV 13609</t>
  </si>
  <si>
    <t>F003-0005282</t>
  </si>
  <si>
    <t>REF 41969</t>
  </si>
  <si>
    <t>F003-0005283</t>
  </si>
  <si>
    <t>OP 2142889</t>
  </si>
  <si>
    <t>F003-0005284</t>
  </si>
  <si>
    <t>MOV 13606</t>
  </si>
  <si>
    <t>F003-0005285</t>
  </si>
  <si>
    <t>OP 2197164</t>
  </si>
  <si>
    <t>18-07-2026</t>
  </si>
  <si>
    <t>F003-0005286</t>
  </si>
  <si>
    <t>MOV 13604</t>
  </si>
  <si>
    <t>F003-0005287</t>
  </si>
  <si>
    <t>REF 16310</t>
  </si>
  <si>
    <t>F003-0005288</t>
  </si>
  <si>
    <t>OP 1095100</t>
  </si>
  <si>
    <t>F003-0005289</t>
  </si>
  <si>
    <t>REF 18608</t>
  </si>
  <si>
    <t>F001-0015220</t>
  </si>
  <si>
    <t>OP 5165550</t>
  </si>
  <si>
    <t>20-07-2026</t>
  </si>
  <si>
    <t>F003-0005290</t>
  </si>
  <si>
    <t>OP 1451132</t>
  </si>
  <si>
    <t>F003-0005291</t>
  </si>
  <si>
    <t>OP 6032349</t>
  </si>
  <si>
    <t>F003-0005292</t>
  </si>
  <si>
    <t>F003-0005293</t>
  </si>
  <si>
    <t>op 2034492</t>
  </si>
  <si>
    <t>OP 2071824</t>
  </si>
  <si>
    <t>F003-0005294</t>
  </si>
  <si>
    <t>OP 2139487</t>
  </si>
  <si>
    <t>F003-0005295</t>
  </si>
  <si>
    <t>OP 2031526</t>
  </si>
  <si>
    <t>F003-0005296</t>
  </si>
  <si>
    <t>OP 3240777</t>
  </si>
  <si>
    <t>F003-0005297</t>
  </si>
  <si>
    <t>OP 4367945</t>
  </si>
  <si>
    <t>F001-0015227</t>
  </si>
  <si>
    <t>VISA CHORRILLOS</t>
  </si>
  <si>
    <t>F001-0015238</t>
  </si>
  <si>
    <t>OP 8680608</t>
  </si>
  <si>
    <t>21-07-2026</t>
  </si>
  <si>
    <t>B003-0000391</t>
  </si>
  <si>
    <t>OP 8363060</t>
  </si>
  <si>
    <t>B003-0000392</t>
  </si>
  <si>
    <t>REF 40098</t>
  </si>
  <si>
    <t>F003-0005298</t>
  </si>
  <si>
    <t>MOV 13635</t>
  </si>
  <si>
    <t>F003-0005299</t>
  </si>
  <si>
    <t>MOV 13641</t>
  </si>
  <si>
    <t>F003-0005300</t>
  </si>
  <si>
    <t>MOV 13636</t>
  </si>
  <si>
    <t>F001-0015250</t>
  </si>
  <si>
    <t>OP 1581739</t>
  </si>
  <si>
    <t>F001-0015251</t>
  </si>
  <si>
    <t>MOV 13633</t>
  </si>
  <si>
    <t>F001-0015256</t>
  </si>
  <si>
    <t>OP 3393740</t>
  </si>
  <si>
    <t>22-07-2026</t>
  </si>
  <si>
    <t>F003-0005301</t>
  </si>
  <si>
    <t>OP 02261725</t>
  </si>
  <si>
    <t>F003-0005302</t>
  </si>
  <si>
    <t>OP 1686394</t>
  </si>
  <si>
    <t>F003-0005303</t>
  </si>
  <si>
    <t>OP 2086935</t>
  </si>
  <si>
    <t>F003-0005304</t>
  </si>
  <si>
    <t>OP 2053252</t>
  </si>
  <si>
    <t>F003-0005305</t>
  </si>
  <si>
    <t>OP 2099560</t>
  </si>
  <si>
    <t>F003-0005306</t>
  </si>
  <si>
    <t>REF 39272</t>
  </si>
  <si>
    <t>F003-0005307</t>
  </si>
  <si>
    <t>OP 2125255</t>
  </si>
  <si>
    <t>F003-0005308</t>
  </si>
  <si>
    <t>REF 35604</t>
  </si>
  <si>
    <t>F003-0005309</t>
  </si>
  <si>
    <t>OP 2177344</t>
  </si>
  <si>
    <t>F003-0005310</t>
  </si>
  <si>
    <t>REF 36796</t>
  </si>
  <si>
    <t>24-07-2026</t>
  </si>
  <si>
    <t>F003-0005311</t>
  </si>
  <si>
    <t>MOV 13669</t>
  </si>
  <si>
    <t>23-07-2026</t>
  </si>
  <si>
    <t>F003-0005312</t>
  </si>
  <si>
    <t>OP 2035151</t>
  </si>
  <si>
    <t>F003-0005313</t>
  </si>
  <si>
    <t>MOV 13679</t>
  </si>
  <si>
    <t>F003-0005314</t>
  </si>
  <si>
    <t>REF 42924</t>
  </si>
  <si>
    <t>F003-0005315</t>
  </si>
  <si>
    <t>OP 2071369</t>
  </si>
  <si>
    <t>F003-0005316</t>
  </si>
  <si>
    <t>OP 2070756</t>
  </si>
  <si>
    <t>F003-0005317</t>
  </si>
  <si>
    <t>OP 2124028</t>
  </si>
  <si>
    <t>F003-0005318</t>
  </si>
  <si>
    <t>OP 6086673</t>
  </si>
  <si>
    <t>25-07-2026</t>
  </si>
  <si>
    <t>F003-0005319</t>
  </si>
  <si>
    <t>OP 2278212</t>
  </si>
  <si>
    <t>F003-0005320</t>
  </si>
  <si>
    <t>MOV 13685</t>
  </si>
  <si>
    <t>F001-0015295</t>
  </si>
  <si>
    <t>F001-0015297</t>
  </si>
  <si>
    <t>MOV 13691</t>
  </si>
  <si>
    <t>27-07-2026</t>
  </si>
  <si>
    <t>F003-0005321</t>
  </si>
  <si>
    <t>OP 1136922</t>
  </si>
  <si>
    <t>F003-0005322</t>
  </si>
  <si>
    <t>OP 1650595</t>
  </si>
  <si>
    <t>F003-0005323</t>
  </si>
  <si>
    <t>OP 2097951</t>
  </si>
  <si>
    <t>F003-0005324</t>
  </si>
  <si>
    <t>REF 00191</t>
  </si>
  <si>
    <t>F003-0005325</t>
  </si>
  <si>
    <t>OP 4120434</t>
  </si>
  <si>
    <t>F004-0008812</t>
  </si>
  <si>
    <t>VISA SAN BORJA</t>
  </si>
  <si>
    <t>REF 54053</t>
  </si>
  <si>
    <t>30-07-2026</t>
  </si>
  <si>
    <t>F003-0005326</t>
  </si>
  <si>
    <t>REF 59268</t>
  </si>
  <si>
    <t>F003-0005327</t>
  </si>
  <si>
    <t>OP 0652250</t>
  </si>
  <si>
    <t>F003-0005328</t>
  </si>
  <si>
    <t>MOV 13709</t>
  </si>
  <si>
    <t>F003-0005329</t>
  </si>
  <si>
    <t>OP 1638598</t>
  </si>
  <si>
    <t>F003-0005330</t>
  </si>
  <si>
    <t>REF 59145</t>
  </si>
  <si>
    <t>F003-0005331</t>
  </si>
  <si>
    <t>OP 3205920</t>
  </si>
  <si>
    <t>DEVOLUCIÓN 2353.61</t>
  </si>
  <si>
    <t>F003-0005332</t>
  </si>
  <si>
    <t>MOV 13717</t>
  </si>
  <si>
    <t>B003-0000393</t>
  </si>
  <si>
    <t>REF 58427</t>
  </si>
  <si>
    <t>B003-0000394</t>
  </si>
  <si>
    <t>OP 3548779</t>
  </si>
  <si>
    <t>F001-0015316</t>
  </si>
  <si>
    <t>REF 45278</t>
  </si>
  <si>
    <t>REF 45385</t>
  </si>
  <si>
    <t>F001-0015318</t>
  </si>
  <si>
    <t>MOV 13707</t>
  </si>
  <si>
    <t>29-07-2026</t>
  </si>
  <si>
    <t>F001-0015323</t>
  </si>
  <si>
    <t>OP 2059768</t>
  </si>
  <si>
    <t>31-07-2026</t>
  </si>
  <si>
    <t>F003-0005333</t>
  </si>
  <si>
    <t>OP 3261801</t>
  </si>
  <si>
    <t>F003-0005334</t>
  </si>
  <si>
    <t>OP 6072489</t>
  </si>
  <si>
    <t>F004-0008842</t>
  </si>
  <si>
    <t>OP 9407925</t>
  </si>
  <si>
    <t>F003-0005335</t>
  </si>
  <si>
    <t>OP 2076274</t>
  </si>
  <si>
    <t>F003-0005336</t>
  </si>
  <si>
    <t>REF 08944</t>
  </si>
  <si>
    <t>F001-0015353</t>
  </si>
  <si>
    <t>OP 1596424</t>
  </si>
  <si>
    <t>F003-0005337</t>
  </si>
  <si>
    <t>OP 02152004</t>
  </si>
  <si>
    <t>F003-0005338</t>
  </si>
  <si>
    <t>REF 15477</t>
  </si>
  <si>
    <t>F003-0005339</t>
  </si>
  <si>
    <t>OP 02094365</t>
  </si>
  <si>
    <t>F003-0005340</t>
  </si>
  <si>
    <t>REF 15633</t>
  </si>
  <si>
    <t>F003-0005341</t>
  </si>
  <si>
    <t>OP 2065682</t>
  </si>
  <si>
    <t>B003-0000395</t>
  </si>
  <si>
    <t>OP 2593270</t>
  </si>
  <si>
    <t>F001-0015360</t>
  </si>
  <si>
    <t>OP 6649366</t>
  </si>
  <si>
    <t>F001-0015363</t>
  </si>
  <si>
    <t>OP 0380343</t>
  </si>
  <si>
    <t>F001-0015378</t>
  </si>
  <si>
    <t>OP 4511798</t>
  </si>
  <si>
    <t>F003-0005342</t>
  </si>
  <si>
    <t>OP 0836771</t>
  </si>
  <si>
    <t>F003-0005343</t>
  </si>
  <si>
    <t>OP 0577124</t>
  </si>
  <si>
    <t>F003-0005344</t>
  </si>
  <si>
    <t>OP 2029162</t>
  </si>
  <si>
    <t>F003-0005345</t>
  </si>
  <si>
    <t>SALDO A FAVOR S/1,778.66</t>
  </si>
  <si>
    <t>F003-0005346</t>
  </si>
  <si>
    <t>OP 2083904</t>
  </si>
  <si>
    <t>F003-0005347</t>
  </si>
  <si>
    <t>OP 2402241</t>
  </si>
  <si>
    <t>F003-0005348</t>
  </si>
  <si>
    <t>op 3085369</t>
  </si>
  <si>
    <t>F003-0005349</t>
  </si>
  <si>
    <t>F003-0005350</t>
  </si>
  <si>
    <t>op 4389409</t>
  </si>
  <si>
    <t>F003-0005351</t>
  </si>
  <si>
    <t>OP 4759166</t>
  </si>
  <si>
    <t>F001-0015387</t>
  </si>
  <si>
    <t>OP 2057003</t>
  </si>
  <si>
    <t>F003-0005352</t>
  </si>
  <si>
    <t>REF 27532</t>
  </si>
  <si>
    <t>F003-0005353</t>
  </si>
  <si>
    <t>REF 29119</t>
  </si>
  <si>
    <t>F003-0005354</t>
  </si>
  <si>
    <t>F003-0005355</t>
  </si>
  <si>
    <t>OP 2996307</t>
  </si>
  <si>
    <t>F001-0015397</t>
  </si>
  <si>
    <t>OP 0778320</t>
  </si>
  <si>
    <t>F003-0005356</t>
  </si>
  <si>
    <t>REF 58683</t>
  </si>
  <si>
    <t>F003-0005357</t>
  </si>
  <si>
    <t>REF 58752</t>
  </si>
  <si>
    <t>F003-0005358</t>
  </si>
  <si>
    <t>OP 02300804</t>
  </si>
  <si>
    <t>F003-0005359</t>
  </si>
  <si>
    <t>OP 02302248</t>
  </si>
  <si>
    <t>F003-0005360</t>
  </si>
  <si>
    <t>REF 50052</t>
  </si>
  <si>
    <t>F003-0005361</t>
  </si>
  <si>
    <t>OP 1523982</t>
  </si>
  <si>
    <t>F003-0005362</t>
  </si>
  <si>
    <t>OP 2054173</t>
  </si>
  <si>
    <t>F003-0005363</t>
  </si>
  <si>
    <t>OP 1826490</t>
  </si>
  <si>
    <t>F003-0005364</t>
  </si>
  <si>
    <t>OP 2144216</t>
  </si>
  <si>
    <t>F003-0005365</t>
  </si>
  <si>
    <t>OP 2661704</t>
  </si>
  <si>
    <t>F001-0015416</t>
  </si>
  <si>
    <t>OP 2025606</t>
  </si>
  <si>
    <t>F003-0005366</t>
  </si>
  <si>
    <t>OP 2008656</t>
  </si>
  <si>
    <t>F003-0005367</t>
  </si>
  <si>
    <t>B003-0000397</t>
  </si>
  <si>
    <t>REF 50492</t>
  </si>
  <si>
    <t>F003-0005368</t>
  </si>
  <si>
    <t>OP 6085651</t>
  </si>
  <si>
    <t>FF03-0005369</t>
  </si>
  <si>
    <t>MOV 13835</t>
  </si>
  <si>
    <t>FF03-0005370</t>
  </si>
  <si>
    <t>OP 2231396</t>
  </si>
  <si>
    <t>FF03-0005371</t>
  </si>
  <si>
    <t>OP 2342695</t>
  </si>
  <si>
    <t>FF03-0005372</t>
  </si>
  <si>
    <t>OP 2521818</t>
  </si>
  <si>
    <t>FF03-0005373</t>
  </si>
  <si>
    <t>OP 3190122</t>
  </si>
  <si>
    <t>FF03-0005374</t>
  </si>
  <si>
    <t>REF 47555</t>
  </si>
  <si>
    <t>FF03-0005375</t>
  </si>
  <si>
    <t>OP 3774532</t>
  </si>
  <si>
    <t>FF03-0005376</t>
  </si>
  <si>
    <t>OP 2208076</t>
  </si>
  <si>
    <t>FF03-0005377</t>
  </si>
  <si>
    <t>OP 2219475</t>
  </si>
  <si>
    <t>B003-0000398</t>
  </si>
  <si>
    <t>REF 48685</t>
  </si>
  <si>
    <t>F004-0008907</t>
  </si>
  <si>
    <t>F003-0005378</t>
  </si>
  <si>
    <t>OP 0439322</t>
  </si>
  <si>
    <t>F003-0005379</t>
  </si>
  <si>
    <t>OP 2002356</t>
  </si>
  <si>
    <t>F003-0005380</t>
  </si>
  <si>
    <t>REF 37162</t>
  </si>
  <si>
    <t>F003-0005381</t>
  </si>
  <si>
    <t>OP 2368969</t>
  </si>
  <si>
    <t>F003-0005382</t>
  </si>
  <si>
    <t>MOV 13869</t>
  </si>
  <si>
    <t>F003-0005383</t>
  </si>
  <si>
    <t>OP 2185420</t>
  </si>
  <si>
    <t>F003-0005384</t>
  </si>
  <si>
    <t>OP 3902064</t>
  </si>
  <si>
    <t>F001-0015477</t>
  </si>
  <si>
    <t>13/08/2026</t>
  </si>
  <si>
    <t>F003-0005385</t>
  </si>
  <si>
    <t>OP 1133468</t>
  </si>
  <si>
    <t>F003-0005386</t>
  </si>
  <si>
    <t>OP 2046905</t>
  </si>
  <si>
    <t>F003-0005387</t>
  </si>
  <si>
    <t>OP 2021071</t>
  </si>
  <si>
    <t>F003-0005388</t>
  </si>
  <si>
    <t>OP 2133194</t>
  </si>
  <si>
    <t>F003-0005389</t>
  </si>
  <si>
    <t>OP 0514681</t>
  </si>
  <si>
    <t>F003-0005390</t>
  </si>
  <si>
    <t>OP 3044990</t>
  </si>
  <si>
    <t>OP 3154893</t>
  </si>
  <si>
    <t>F003-0005391</t>
  </si>
  <si>
    <t>MOV 13886</t>
  </si>
  <si>
    <t>B003-0000399</t>
  </si>
  <si>
    <t>REF 32583</t>
  </si>
  <si>
    <t>B003-0000400</t>
  </si>
  <si>
    <t>REF 31225</t>
  </si>
  <si>
    <t>F004-0008922</t>
  </si>
  <si>
    <t>OP 3525268</t>
  </si>
  <si>
    <t>F001-0015479</t>
  </si>
  <si>
    <t>OP 0612607</t>
  </si>
  <si>
    <t>F001-0015482</t>
  </si>
  <si>
    <t>OP 4128958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</si>
</sst>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S/&quot;\ #,##0.00"/>
    <numFmt numFmtId="179" formatCode="_-&quot;S/&quot;\ * #,##0.00_-;\-&quot;S/&quot;\ * #,##0.00_-;_-&quot;S/&quot;\ * &quot;-&quot;??_-;_-@_-"/>
    <numFmt numFmtId="180" formatCode="[$S/-280A]#,##0.00_);[Red]\([$S/-280A]#,##0.00\)"/>
  </numFmts>
  <fonts count="36">
    <font>
      <sz val="11"/>
      <color theme="1"/>
      <name val="Calibri"/>
      <charset val="134"/>
      <scheme val="minor"/>
    </font>
    <font>
      <b/>
      <sz val="16"/>
      <color theme="0"/>
      <name val="Calibri"/>
      <charset val="134"/>
    </font>
    <font>
      <sz val="11"/>
      <name val="Calibri"/>
      <charset val="134"/>
    </font>
    <font>
      <b/>
      <sz val="11"/>
      <color theme="4"/>
      <name val="Calibri"/>
      <charset val="134"/>
    </font>
    <font>
      <sz val="11"/>
      <color theme="1"/>
      <name val="Calibri"/>
      <charset val="134"/>
    </font>
    <font>
      <b/>
      <sz val="8"/>
      <color theme="0"/>
      <name val="Arial"/>
      <charset val="134"/>
    </font>
    <font>
      <b/>
      <sz val="8"/>
      <color theme="0"/>
      <name val="Tahoma"/>
      <charset val="134"/>
    </font>
    <font>
      <sz val="9"/>
      <name val="Arial"/>
      <charset val="134"/>
    </font>
    <font>
      <b/>
      <sz val="11"/>
      <color rgb="FFFF0000"/>
      <name val="Calibri"/>
      <charset val="134"/>
    </font>
    <font>
      <sz val="9"/>
      <color theme="1"/>
      <name val="Arial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</font>
    <font>
      <b/>
      <sz val="9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D965"/>
        <bgColor rgb="FFFFD965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6" borderId="16" applyNumberFormat="0" applyAlignment="0" applyProtection="0">
      <alignment vertical="center"/>
    </xf>
    <xf numFmtId="0" fontId="26" fillId="17" borderId="17" applyNumberFormat="0" applyAlignment="0" applyProtection="0">
      <alignment vertical="center"/>
    </xf>
    <xf numFmtId="0" fontId="27" fillId="17" borderId="16" applyNumberFormat="0" applyAlignment="0" applyProtection="0">
      <alignment vertical="center"/>
    </xf>
    <xf numFmtId="0" fontId="28" fillId="18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</cellStyleXfs>
  <cellXfs count="1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right"/>
    </xf>
    <xf numFmtId="17" fontId="4" fillId="3" borderId="2" xfId="0" applyNumberFormat="1" applyFont="1" applyFill="1" applyBorder="1" applyAlignment="1">
      <alignment horizontal="center"/>
    </xf>
    <xf numFmtId="0" fontId="2" fillId="0" borderId="3" xfId="0" applyFont="1" applyBorder="1"/>
    <xf numFmtId="0" fontId="5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4" fontId="5" fillId="4" borderId="8" xfId="0" applyNumberFormat="1" applyFont="1" applyFill="1" applyBorder="1" applyAlignment="1">
      <alignment horizontal="center" vertical="center" wrapText="1"/>
    </xf>
    <xf numFmtId="2" fontId="5" fillId="4" borderId="8" xfId="0" applyNumberFormat="1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5" fillId="4" borderId="11" xfId="0" applyFont="1" applyFill="1" applyBorder="1" applyAlignment="1">
      <alignment horizontal="center" vertical="center"/>
    </xf>
    <xf numFmtId="4" fontId="5" fillId="4" borderId="11" xfId="0" applyNumberFormat="1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58" fontId="7" fillId="5" borderId="12" xfId="0" applyNumberFormat="1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/>
    </xf>
    <xf numFmtId="178" fontId="7" fillId="5" borderId="8" xfId="0" applyNumberFormat="1" applyFont="1" applyFill="1" applyBorder="1" applyAlignment="1">
      <alignment horizontal="center"/>
    </xf>
    <xf numFmtId="179" fontId="7" fillId="5" borderId="8" xfId="0" applyNumberFormat="1" applyFont="1" applyFill="1" applyBorder="1" applyAlignment="1">
      <alignment horizontal="center"/>
    </xf>
    <xf numFmtId="4" fontId="2" fillId="5" borderId="8" xfId="0" applyNumberFormat="1" applyFont="1" applyFill="1" applyBorder="1" applyAlignment="1">
      <alignment horizontal="center"/>
    </xf>
    <xf numFmtId="4" fontId="2" fillId="5" borderId="8" xfId="0" applyNumberFormat="1" applyFont="1" applyFill="1" applyBorder="1"/>
    <xf numFmtId="4" fontId="8" fillId="5" borderId="8" xfId="0" applyNumberFormat="1" applyFont="1" applyFill="1" applyBorder="1" applyAlignment="1">
      <alignment horizontal="center"/>
    </xf>
    <xf numFmtId="178" fontId="9" fillId="5" borderId="8" xfId="0" applyNumberFormat="1" applyFont="1" applyFill="1" applyBorder="1" applyAlignment="1">
      <alignment horizontal="center"/>
    </xf>
    <xf numFmtId="179" fontId="9" fillId="5" borderId="8" xfId="0" applyNumberFormat="1" applyFont="1" applyFill="1" applyBorder="1" applyAlignment="1">
      <alignment horizontal="center"/>
    </xf>
    <xf numFmtId="178" fontId="7" fillId="5" borderId="8" xfId="0" applyNumberFormat="1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/>
    </xf>
    <xf numFmtId="4" fontId="10" fillId="5" borderId="8" xfId="0" applyNumberFormat="1" applyFont="1" applyFill="1" applyBorder="1" applyAlignment="1">
      <alignment horizontal="center"/>
    </xf>
    <xf numFmtId="58" fontId="0" fillId="5" borderId="8" xfId="0" applyNumberFormat="1" applyFill="1" applyBorder="1" applyAlignment="1">
      <alignment horizontal="center"/>
    </xf>
    <xf numFmtId="58" fontId="0" fillId="5" borderId="0" xfId="0" applyNumberFormat="1" applyFill="1" applyAlignment="1">
      <alignment horizontal="center"/>
    </xf>
    <xf numFmtId="58" fontId="7" fillId="5" borderId="8" xfId="0" applyNumberFormat="1" applyFont="1" applyFill="1" applyBorder="1" applyAlignment="1">
      <alignment horizontal="center"/>
    </xf>
    <xf numFmtId="4" fontId="11" fillId="5" borderId="8" xfId="0" applyNumberFormat="1" applyFont="1" applyFill="1" applyBorder="1"/>
    <xf numFmtId="0" fontId="7" fillId="5" borderId="0" xfId="0" applyFont="1" applyFill="1" applyAlignment="1">
      <alignment horizontal="center"/>
    </xf>
    <xf numFmtId="4" fontId="7" fillId="5" borderId="8" xfId="1" applyNumberFormat="1" applyFont="1" applyFill="1" applyBorder="1" applyAlignment="1">
      <alignment horizontal="center"/>
    </xf>
    <xf numFmtId="4" fontId="7" fillId="5" borderId="8" xfId="0" applyNumberFormat="1" applyFont="1" applyFill="1" applyBorder="1" applyAlignment="1">
      <alignment horizontal="center"/>
    </xf>
    <xf numFmtId="4" fontId="7" fillId="6" borderId="8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12" fillId="6" borderId="8" xfId="0" applyFont="1" applyFill="1" applyBorder="1"/>
    <xf numFmtId="0" fontId="13" fillId="6" borderId="8" xfId="0" applyFont="1" applyFill="1" applyBorder="1" applyAlignment="1">
      <alignment horizontal="center"/>
    </xf>
    <xf numFmtId="4" fontId="2" fillId="7" borderId="8" xfId="0" applyNumberFormat="1" applyFont="1" applyFill="1" applyBorder="1" applyAlignment="1">
      <alignment horizontal="center"/>
    </xf>
    <xf numFmtId="58" fontId="7" fillId="5" borderId="8" xfId="0" applyNumberFormat="1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/>
    </xf>
    <xf numFmtId="0" fontId="7" fillId="8" borderId="12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/>
    </xf>
    <xf numFmtId="178" fontId="4" fillId="8" borderId="8" xfId="0" applyNumberFormat="1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15" fillId="8" borderId="8" xfId="0" applyFont="1" applyFill="1" applyBorder="1" applyAlignment="1">
      <alignment horizontal="center"/>
    </xf>
    <xf numFmtId="178" fontId="0" fillId="8" borderId="8" xfId="0" applyNumberFormat="1" applyFill="1" applyBorder="1" applyAlignment="1">
      <alignment horizontal="center"/>
    </xf>
    <xf numFmtId="4" fontId="4" fillId="8" borderId="8" xfId="0" applyNumberFormat="1" applyFont="1" applyFill="1" applyBorder="1" applyAlignment="1">
      <alignment horizontal="center"/>
    </xf>
    <xf numFmtId="4" fontId="4" fillId="8" borderId="8" xfId="0" applyNumberFormat="1" applyFont="1" applyFill="1" applyBorder="1"/>
    <xf numFmtId="58" fontId="9" fillId="5" borderId="8" xfId="0" applyNumberFormat="1" applyFont="1" applyFill="1" applyBorder="1" applyAlignment="1">
      <alignment horizontal="center"/>
    </xf>
    <xf numFmtId="58" fontId="7" fillId="9" borderId="12" xfId="0" applyNumberFormat="1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/>
    </xf>
    <xf numFmtId="178" fontId="9" fillId="9" borderId="8" xfId="0" applyNumberFormat="1" applyFont="1" applyFill="1" applyBorder="1" applyAlignment="1">
      <alignment horizontal="center"/>
    </xf>
    <xf numFmtId="179" fontId="7" fillId="9" borderId="8" xfId="0" applyNumberFormat="1" applyFont="1" applyFill="1" applyBorder="1" applyAlignment="1">
      <alignment horizontal="center"/>
    </xf>
    <xf numFmtId="179" fontId="9" fillId="9" borderId="8" xfId="0" applyNumberFormat="1" applyFont="1" applyFill="1" applyBorder="1" applyAlignment="1">
      <alignment horizontal="center"/>
    </xf>
    <xf numFmtId="178" fontId="7" fillId="9" borderId="8" xfId="0" applyNumberFormat="1" applyFont="1" applyFill="1" applyBorder="1" applyAlignment="1">
      <alignment horizontal="center"/>
    </xf>
    <xf numFmtId="178" fontId="7" fillId="9" borderId="8" xfId="0" applyNumberFormat="1" applyFont="1" applyFill="1" applyBorder="1" applyAlignment="1">
      <alignment horizontal="center" vertical="center"/>
    </xf>
    <xf numFmtId="58" fontId="7" fillId="10" borderId="12" xfId="0" applyNumberFormat="1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/>
    </xf>
    <xf numFmtId="178" fontId="7" fillId="10" borderId="8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/>
    </xf>
    <xf numFmtId="180" fontId="7" fillId="5" borderId="8" xfId="1" applyNumberFormat="1" applyFont="1" applyFill="1" applyBorder="1" applyAlignment="1">
      <alignment horizontal="center"/>
    </xf>
    <xf numFmtId="4" fontId="8" fillId="8" borderId="8" xfId="0" applyNumberFormat="1" applyFont="1" applyFill="1" applyBorder="1" applyAlignment="1">
      <alignment horizontal="center"/>
    </xf>
    <xf numFmtId="0" fontId="9" fillId="9" borderId="8" xfId="0" applyFont="1" applyFill="1" applyBorder="1" applyAlignment="1">
      <alignment horizontal="center"/>
    </xf>
    <xf numFmtId="58" fontId="7" fillId="11" borderId="12" xfId="0" applyNumberFormat="1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/>
    </xf>
    <xf numFmtId="178" fontId="7" fillId="11" borderId="8" xfId="0" applyNumberFormat="1" applyFont="1" applyFill="1" applyBorder="1" applyAlignment="1">
      <alignment horizontal="center"/>
    </xf>
    <xf numFmtId="179" fontId="9" fillId="11" borderId="8" xfId="0" applyNumberFormat="1" applyFont="1" applyFill="1" applyBorder="1" applyAlignment="1">
      <alignment horizontal="center"/>
    </xf>
    <xf numFmtId="58" fontId="7" fillId="0" borderId="12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/>
    </xf>
    <xf numFmtId="178" fontId="7" fillId="0" borderId="8" xfId="0" applyNumberFormat="1" applyFont="1" applyFill="1" applyBorder="1" applyAlignment="1">
      <alignment horizontal="center"/>
    </xf>
    <xf numFmtId="179" fontId="7" fillId="11" borderId="8" xfId="0" applyNumberFormat="1" applyFont="1" applyFill="1" applyBorder="1" applyAlignment="1">
      <alignment horizontal="center"/>
    </xf>
    <xf numFmtId="0" fontId="12" fillId="9" borderId="0" xfId="0" applyFont="1" applyFill="1"/>
    <xf numFmtId="0" fontId="7" fillId="9" borderId="8" xfId="0" applyFont="1" applyFill="1" applyBorder="1" applyAlignment="1">
      <alignment horizontal="center" vertical="center"/>
    </xf>
    <xf numFmtId="58" fontId="7" fillId="11" borderId="8" xfId="0" applyNumberFormat="1" applyFont="1" applyFill="1" applyBorder="1" applyAlignment="1">
      <alignment horizontal="center"/>
    </xf>
    <xf numFmtId="58" fontId="7" fillId="9" borderId="8" xfId="0" applyNumberFormat="1" applyFont="1" applyFill="1" applyBorder="1" applyAlignment="1">
      <alignment horizontal="center"/>
    </xf>
    <xf numFmtId="4" fontId="7" fillId="9" borderId="8" xfId="1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179" fontId="7" fillId="10" borderId="8" xfId="0" applyNumberFormat="1" applyFont="1" applyFill="1" applyBorder="1" applyAlignment="1">
      <alignment horizontal="center"/>
    </xf>
    <xf numFmtId="58" fontId="7" fillId="8" borderId="12" xfId="0" applyNumberFormat="1" applyFont="1" applyFill="1" applyBorder="1" applyAlignment="1">
      <alignment horizontal="center" vertical="center"/>
    </xf>
    <xf numFmtId="178" fontId="7" fillId="8" borderId="8" xfId="0" applyNumberFormat="1" applyFont="1" applyFill="1" applyBorder="1" applyAlignment="1">
      <alignment horizontal="center"/>
    </xf>
    <xf numFmtId="180" fontId="7" fillId="9" borderId="8" xfId="1" applyNumberFormat="1" applyFont="1" applyFill="1" applyBorder="1" applyAlignment="1">
      <alignment horizontal="center"/>
    </xf>
    <xf numFmtId="176" fontId="7" fillId="9" borderId="8" xfId="1" applyFont="1" applyFill="1" applyBorder="1" applyAlignment="1">
      <alignment horizontal="center"/>
    </xf>
    <xf numFmtId="4" fontId="7" fillId="11" borderId="8" xfId="1" applyNumberFormat="1" applyFont="1" applyFill="1" applyBorder="1" applyAlignment="1">
      <alignment horizontal="center"/>
    </xf>
    <xf numFmtId="4" fontId="7" fillId="11" borderId="8" xfId="0" applyNumberFormat="1" applyFont="1" applyFill="1" applyBorder="1" applyAlignment="1">
      <alignment horizontal="center"/>
    </xf>
    <xf numFmtId="4" fontId="7" fillId="9" borderId="8" xfId="0" applyNumberFormat="1" applyFont="1" applyFill="1" applyBorder="1" applyAlignment="1">
      <alignment horizontal="center"/>
    </xf>
    <xf numFmtId="178" fontId="9" fillId="11" borderId="8" xfId="0" applyNumberFormat="1" applyFont="1" applyFill="1" applyBorder="1" applyAlignment="1">
      <alignment horizontal="center"/>
    </xf>
    <xf numFmtId="58" fontId="7" fillId="12" borderId="12" xfId="0" applyNumberFormat="1" applyFont="1" applyFill="1" applyBorder="1" applyAlignment="1">
      <alignment horizontal="center" vertical="center"/>
    </xf>
    <xf numFmtId="0" fontId="7" fillId="12" borderId="12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/>
    </xf>
    <xf numFmtId="178" fontId="7" fillId="12" borderId="8" xfId="0" applyNumberFormat="1" applyFont="1" applyFill="1" applyBorder="1" applyAlignment="1">
      <alignment horizontal="center"/>
    </xf>
    <xf numFmtId="179" fontId="7" fillId="12" borderId="8" xfId="0" applyNumberFormat="1" applyFont="1" applyFill="1" applyBorder="1" applyAlignment="1">
      <alignment horizontal="center"/>
    </xf>
    <xf numFmtId="179" fontId="9" fillId="12" borderId="8" xfId="0" applyNumberFormat="1" applyFont="1" applyFill="1" applyBorder="1" applyAlignment="1">
      <alignment horizontal="center"/>
    </xf>
    <xf numFmtId="179" fontId="7" fillId="8" borderId="8" xfId="0" applyNumberFormat="1" applyFont="1" applyFill="1" applyBorder="1" applyAlignment="1">
      <alignment horizontal="center"/>
    </xf>
    <xf numFmtId="0" fontId="12" fillId="5" borderId="0" xfId="0" applyFont="1" applyFill="1"/>
    <xf numFmtId="0" fontId="7" fillId="11" borderId="8" xfId="0" applyFont="1" applyFill="1" applyBorder="1" applyAlignment="1">
      <alignment horizontal="center" vertical="center"/>
    </xf>
    <xf numFmtId="58" fontId="7" fillId="12" borderId="8" xfId="0" applyNumberFormat="1" applyFont="1" applyFill="1" applyBorder="1" applyAlignment="1">
      <alignment horizontal="center"/>
    </xf>
    <xf numFmtId="58" fontId="7" fillId="10" borderId="8" xfId="0" applyNumberFormat="1" applyFont="1" applyFill="1" applyBorder="1" applyAlignment="1">
      <alignment horizontal="center"/>
    </xf>
    <xf numFmtId="176" fontId="7" fillId="5" borderId="8" xfId="1" applyFont="1" applyFill="1" applyBorder="1" applyAlignment="1">
      <alignment horizontal="center"/>
    </xf>
    <xf numFmtId="176" fontId="7" fillId="5" borderId="8" xfId="1" applyFont="1" applyFill="1" applyBorder="1" applyAlignment="1">
      <alignment horizontal="right" vertical="center"/>
    </xf>
    <xf numFmtId="58" fontId="7" fillId="8" borderId="8" xfId="0" applyNumberFormat="1" applyFont="1" applyFill="1" applyBorder="1" applyAlignment="1">
      <alignment horizontal="center"/>
    </xf>
    <xf numFmtId="178" fontId="7" fillId="11" borderId="8" xfId="0" applyNumberFormat="1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/>
    </xf>
    <xf numFmtId="178" fontId="9" fillId="10" borderId="8" xfId="0" applyNumberFormat="1" applyFont="1" applyFill="1" applyBorder="1" applyAlignment="1">
      <alignment horizontal="center"/>
    </xf>
    <xf numFmtId="179" fontId="9" fillId="10" borderId="8" xfId="0" applyNumberFormat="1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16" fillId="11" borderId="8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58" fontId="9" fillId="11" borderId="12" xfId="0" applyNumberFormat="1" applyFont="1" applyFill="1" applyBorder="1" applyAlignment="1">
      <alignment horizontal="center" vertical="center"/>
    </xf>
    <xf numFmtId="4" fontId="7" fillId="12" borderId="8" xfId="0" applyNumberFormat="1" applyFont="1" applyFill="1" applyBorder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12" fillId="11" borderId="0" xfId="0" applyFont="1" applyFill="1"/>
    <xf numFmtId="58" fontId="7" fillId="13" borderId="12" xfId="0" applyNumberFormat="1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/>
    </xf>
    <xf numFmtId="178" fontId="7" fillId="13" borderId="8" xfId="0" applyNumberFormat="1" applyFont="1" applyFill="1" applyBorder="1" applyAlignment="1">
      <alignment horizontal="center"/>
    </xf>
    <xf numFmtId="58" fontId="7" fillId="14" borderId="12" xfId="0" applyNumberFormat="1" applyFont="1" applyFill="1" applyBorder="1" applyAlignment="1">
      <alignment horizontal="center" vertical="center"/>
    </xf>
    <xf numFmtId="0" fontId="7" fillId="14" borderId="12" xfId="0" applyFont="1" applyFill="1" applyBorder="1" applyAlignment="1">
      <alignment horizontal="center" vertical="center"/>
    </xf>
    <xf numFmtId="0" fontId="7" fillId="14" borderId="8" xfId="0" applyFont="1" applyFill="1" applyBorder="1" applyAlignment="1">
      <alignment horizontal="center"/>
    </xf>
    <xf numFmtId="178" fontId="7" fillId="14" borderId="8" xfId="0" applyNumberFormat="1" applyFont="1" applyFill="1" applyBorder="1" applyAlignment="1">
      <alignment horizontal="center"/>
    </xf>
    <xf numFmtId="58" fontId="7" fillId="14" borderId="8" xfId="0" applyNumberFormat="1" applyFont="1" applyFill="1" applyBorder="1" applyAlignment="1">
      <alignment horizontal="center"/>
    </xf>
    <xf numFmtId="0" fontId="7" fillId="11" borderId="0" xfId="0" applyFont="1" applyFill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buildingsystemperu-my.sharepoint.com\Users\Usuario\Downloads\Listado-Cobranza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nú"/>
      <sheetName val="Listado"/>
      <sheetName val="Hoja2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048570"/>
  <sheetViews>
    <sheetView topLeftCell="A248" workbookViewId="0">
      <selection activeCell="K177" sqref="K177"/>
    </sheetView>
  </sheetViews>
  <sheetFormatPr defaultColWidth="11" defaultRowHeight="15"/>
  <cols>
    <col min="1" max="1" width="3.85714285714286" customWidth="1"/>
    <col min="2" max="2" width="11" customWidth="1"/>
    <col min="3" max="3" width="6.14285714285714" customWidth="1"/>
    <col min="4" max="4" width="14.7142857142857" customWidth="1"/>
    <col min="5" max="5" width="12.5714285714286" customWidth="1"/>
    <col min="6" max="6" width="17.7142857142857" customWidth="1"/>
    <col min="9" max="9" width="12.2857142857143" customWidth="1"/>
    <col min="10" max="10" width="14.2857142857143" customWidth="1"/>
    <col min="11" max="11" width="15.5714285714286" customWidth="1"/>
    <col min="12" max="12" width="11.4285714285714" customWidth="1"/>
    <col min="13" max="13" width="24.7142857142857" customWidth="1"/>
    <col min="14" max="14" width="18" customWidth="1"/>
  </cols>
  <sheetData>
    <row r="2" ht="21" spans="2:1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5.75"/>
    <row r="4" ht="15.75" spans="2:14">
      <c r="B4" s="3" t="s">
        <v>1</v>
      </c>
      <c r="C4" s="4">
        <v>46023</v>
      </c>
      <c r="D4" s="5"/>
    </row>
    <row r="6" spans="2:14">
      <c r="B6" s="6" t="s">
        <v>2</v>
      </c>
      <c r="C6" s="6" t="s">
        <v>3</v>
      </c>
      <c r="D6" s="6" t="s">
        <v>4</v>
      </c>
      <c r="E6" s="7" t="s">
        <v>5</v>
      </c>
      <c r="F6" s="7" t="s">
        <v>6</v>
      </c>
      <c r="G6" s="8" t="s">
        <v>7</v>
      </c>
      <c r="H6" s="9"/>
      <c r="I6" s="9"/>
      <c r="J6" s="10"/>
      <c r="K6" s="11" t="s">
        <v>8</v>
      </c>
      <c r="L6" s="11" t="s">
        <v>9</v>
      </c>
      <c r="M6" s="12" t="s">
        <v>10</v>
      </c>
      <c r="N6" s="12" t="s">
        <v>11</v>
      </c>
    </row>
    <row r="7" spans="2:14">
      <c r="B7" s="13"/>
      <c r="C7" s="13"/>
      <c r="D7" s="14"/>
      <c r="E7" s="13"/>
      <c r="F7" s="13"/>
      <c r="G7" s="15" t="s">
        <v>12</v>
      </c>
      <c r="H7" s="15" t="s">
        <v>13</v>
      </c>
      <c r="I7" s="15" t="s">
        <v>2</v>
      </c>
      <c r="J7" s="16" t="s">
        <v>14</v>
      </c>
      <c r="K7" s="17"/>
      <c r="L7" s="17"/>
      <c r="M7" s="17"/>
      <c r="N7" s="18"/>
    </row>
    <row r="8" spans="2:14">
      <c r="B8" s="19">
        <v>46024</v>
      </c>
      <c r="C8" s="20" t="s">
        <v>15</v>
      </c>
      <c r="D8" s="21" t="s">
        <v>16</v>
      </c>
      <c r="E8" s="22">
        <v>191.67</v>
      </c>
      <c r="F8" s="23" t="s">
        <v>17</v>
      </c>
      <c r="G8" s="23" t="s">
        <v>18</v>
      </c>
      <c r="H8" s="21" t="s">
        <v>19</v>
      </c>
      <c r="I8" s="19">
        <v>46024</v>
      </c>
      <c r="J8" s="22">
        <f t="shared" ref="J8:J71" si="0">E8</f>
        <v>191.67</v>
      </c>
      <c r="K8" s="22">
        <v>191.67</v>
      </c>
      <c r="L8" s="43">
        <f t="shared" ref="L8:L71" si="1">J8-K8</f>
        <v>0</v>
      </c>
      <c r="M8" s="25"/>
      <c r="N8" s="31"/>
    </row>
    <row r="9" spans="2:14">
      <c r="B9" s="121">
        <v>46024</v>
      </c>
      <c r="C9" s="117" t="s">
        <v>15</v>
      </c>
      <c r="D9" s="87" t="s">
        <v>20</v>
      </c>
      <c r="E9" s="96">
        <v>186.76</v>
      </c>
      <c r="F9" s="76" t="s">
        <v>17</v>
      </c>
      <c r="G9" s="76" t="s">
        <v>21</v>
      </c>
      <c r="H9" s="76" t="s">
        <v>22</v>
      </c>
      <c r="I9" s="121">
        <v>46024</v>
      </c>
      <c r="J9" s="96">
        <f t="shared" si="0"/>
        <v>186.76</v>
      </c>
      <c r="K9" s="96">
        <v>186.76</v>
      </c>
      <c r="L9" s="43">
        <f t="shared" si="1"/>
        <v>0</v>
      </c>
      <c r="M9" s="25"/>
      <c r="N9" s="70" t="s">
        <v>23</v>
      </c>
    </row>
    <row r="10" spans="2:14">
      <c r="B10" s="121">
        <v>46024</v>
      </c>
      <c r="C10" s="117" t="s">
        <v>15</v>
      </c>
      <c r="D10" s="87" t="s">
        <v>24</v>
      </c>
      <c r="E10" s="96">
        <v>846.71</v>
      </c>
      <c r="F10" s="76" t="s">
        <v>17</v>
      </c>
      <c r="G10" s="76" t="s">
        <v>21</v>
      </c>
      <c r="H10" s="87" t="s">
        <v>25</v>
      </c>
      <c r="I10" s="121">
        <v>46024</v>
      </c>
      <c r="J10" s="96">
        <f t="shared" si="0"/>
        <v>846.71</v>
      </c>
      <c r="K10" s="96">
        <v>846.71</v>
      </c>
      <c r="L10" s="43">
        <f t="shared" si="1"/>
        <v>0</v>
      </c>
      <c r="M10" s="25"/>
      <c r="N10" s="70" t="s">
        <v>23</v>
      </c>
    </row>
    <row r="11" spans="2:14">
      <c r="B11" s="19">
        <v>46024</v>
      </c>
      <c r="C11" s="20" t="s">
        <v>15</v>
      </c>
      <c r="D11" s="21" t="s">
        <v>26</v>
      </c>
      <c r="E11" s="29">
        <v>457.63</v>
      </c>
      <c r="F11" s="23" t="s">
        <v>17</v>
      </c>
      <c r="G11" s="23" t="s">
        <v>21</v>
      </c>
      <c r="H11" s="21" t="s">
        <v>27</v>
      </c>
      <c r="I11" s="19">
        <v>46024</v>
      </c>
      <c r="J11" s="22">
        <f t="shared" si="0"/>
        <v>457.63</v>
      </c>
      <c r="K11" s="29">
        <v>457.63</v>
      </c>
      <c r="L11" s="43">
        <f t="shared" si="1"/>
        <v>0</v>
      </c>
      <c r="M11" s="25"/>
      <c r="N11" s="31"/>
    </row>
    <row r="12" spans="2:14">
      <c r="B12" s="19">
        <v>46024</v>
      </c>
      <c r="C12" s="20" t="s">
        <v>15</v>
      </c>
      <c r="D12" s="21" t="s">
        <v>28</v>
      </c>
      <c r="E12" s="22">
        <v>131.48</v>
      </c>
      <c r="F12" s="23" t="s">
        <v>29</v>
      </c>
      <c r="G12" s="23"/>
      <c r="H12" s="21" t="s">
        <v>30</v>
      </c>
      <c r="I12" s="19">
        <v>46024</v>
      </c>
      <c r="J12" s="22">
        <f t="shared" si="0"/>
        <v>131.48</v>
      </c>
      <c r="K12" s="22">
        <v>131.48</v>
      </c>
      <c r="L12" s="43">
        <f t="shared" si="1"/>
        <v>0</v>
      </c>
      <c r="M12" s="25"/>
      <c r="N12" s="31"/>
    </row>
    <row r="13" spans="2:14">
      <c r="B13" s="121">
        <v>46024</v>
      </c>
      <c r="C13" s="117" t="s">
        <v>15</v>
      </c>
      <c r="D13" s="87" t="s">
        <v>31</v>
      </c>
      <c r="E13" s="96">
        <v>44.43</v>
      </c>
      <c r="F13" s="76" t="s">
        <v>17</v>
      </c>
      <c r="G13" s="76" t="s">
        <v>21</v>
      </c>
      <c r="H13" s="87" t="s">
        <v>32</v>
      </c>
      <c r="I13" s="121">
        <v>46024</v>
      </c>
      <c r="J13" s="96">
        <f t="shared" si="0"/>
        <v>44.43</v>
      </c>
      <c r="K13" s="96">
        <v>44.43</v>
      </c>
      <c r="L13" s="43">
        <f t="shared" si="1"/>
        <v>0</v>
      </c>
      <c r="M13" s="25"/>
      <c r="N13" s="70" t="s">
        <v>33</v>
      </c>
    </row>
    <row r="14" spans="2:14">
      <c r="B14" s="19">
        <v>46025</v>
      </c>
      <c r="C14" s="20" t="s">
        <v>15</v>
      </c>
      <c r="D14" s="21" t="s">
        <v>34</v>
      </c>
      <c r="E14" s="22">
        <v>454.22</v>
      </c>
      <c r="F14" s="23" t="s">
        <v>29</v>
      </c>
      <c r="G14" s="23"/>
      <c r="H14" s="21" t="s">
        <v>35</v>
      </c>
      <c r="I14" s="19">
        <v>46025</v>
      </c>
      <c r="J14" s="22">
        <f t="shared" si="0"/>
        <v>454.22</v>
      </c>
      <c r="K14" s="22">
        <v>454.22</v>
      </c>
      <c r="L14" s="43">
        <f t="shared" si="1"/>
        <v>0</v>
      </c>
      <c r="M14" s="25"/>
      <c r="N14" s="31"/>
    </row>
    <row r="15" spans="2:14">
      <c r="B15" s="72">
        <v>46025</v>
      </c>
      <c r="C15" s="73" t="s">
        <v>15</v>
      </c>
      <c r="D15" s="74" t="s">
        <v>36</v>
      </c>
      <c r="E15" s="75">
        <v>392.49</v>
      </c>
      <c r="F15" s="81" t="s">
        <v>17</v>
      </c>
      <c r="G15" s="81" t="s">
        <v>37</v>
      </c>
      <c r="H15" s="81" t="s">
        <v>38</v>
      </c>
      <c r="I15" s="72">
        <v>46025</v>
      </c>
      <c r="J15" s="75">
        <f t="shared" si="0"/>
        <v>392.49</v>
      </c>
      <c r="K15" s="75">
        <v>392.49</v>
      </c>
      <c r="L15" s="43">
        <f t="shared" si="1"/>
        <v>0</v>
      </c>
      <c r="M15" s="25"/>
      <c r="N15" s="70" t="s">
        <v>39</v>
      </c>
    </row>
    <row r="16" spans="2:14">
      <c r="B16" s="19">
        <v>46027</v>
      </c>
      <c r="C16" s="20" t="s">
        <v>15</v>
      </c>
      <c r="D16" s="21" t="s">
        <v>40</v>
      </c>
      <c r="E16" s="22">
        <v>1136.26</v>
      </c>
      <c r="F16" s="23" t="s">
        <v>41</v>
      </c>
      <c r="G16" s="23" t="s">
        <v>21</v>
      </c>
      <c r="H16" s="23" t="s">
        <v>42</v>
      </c>
      <c r="I16" s="19">
        <v>46027</v>
      </c>
      <c r="J16" s="22">
        <f t="shared" si="0"/>
        <v>1136.26</v>
      </c>
      <c r="K16" s="22">
        <v>1136.26</v>
      </c>
      <c r="L16" s="43">
        <f t="shared" si="1"/>
        <v>0</v>
      </c>
      <c r="M16" s="25"/>
      <c r="N16" s="31"/>
    </row>
    <row r="17" spans="2:14">
      <c r="B17" s="72">
        <v>46027</v>
      </c>
      <c r="C17" s="73" t="s">
        <v>15</v>
      </c>
      <c r="D17" s="74" t="s">
        <v>43</v>
      </c>
      <c r="E17" s="75">
        <v>264.42</v>
      </c>
      <c r="F17" s="81" t="s">
        <v>17</v>
      </c>
      <c r="G17" s="81" t="s">
        <v>21</v>
      </c>
      <c r="H17" s="74" t="s">
        <v>44</v>
      </c>
      <c r="I17" s="72">
        <v>46027</v>
      </c>
      <c r="J17" s="75">
        <f t="shared" si="0"/>
        <v>264.42</v>
      </c>
      <c r="K17" s="75">
        <v>264.42</v>
      </c>
      <c r="L17" s="43">
        <f t="shared" si="1"/>
        <v>0</v>
      </c>
      <c r="M17" s="25"/>
      <c r="N17" s="31"/>
    </row>
    <row r="18" spans="2:14">
      <c r="B18" s="19">
        <v>46027</v>
      </c>
      <c r="C18" s="20" t="s">
        <v>15</v>
      </c>
      <c r="D18" s="21" t="s">
        <v>45</v>
      </c>
      <c r="E18" s="22">
        <v>113.47</v>
      </c>
      <c r="F18" s="23" t="s">
        <v>29</v>
      </c>
      <c r="G18" s="23"/>
      <c r="H18" s="21" t="s">
        <v>46</v>
      </c>
      <c r="I18" s="19">
        <v>46027</v>
      </c>
      <c r="J18" s="22">
        <f t="shared" si="0"/>
        <v>113.47</v>
      </c>
      <c r="K18" s="22">
        <v>113.47</v>
      </c>
      <c r="L18" s="43">
        <f t="shared" si="1"/>
        <v>0</v>
      </c>
      <c r="M18" s="25"/>
      <c r="N18" s="31"/>
    </row>
    <row r="19" spans="2:14">
      <c r="B19" s="19">
        <v>46027</v>
      </c>
      <c r="C19" s="20" t="s">
        <v>15</v>
      </c>
      <c r="D19" s="21" t="s">
        <v>47</v>
      </c>
      <c r="E19" s="22">
        <v>275.9</v>
      </c>
      <c r="F19" s="23" t="s">
        <v>17</v>
      </c>
      <c r="G19" s="23" t="s">
        <v>21</v>
      </c>
      <c r="H19" s="21" t="s">
        <v>48</v>
      </c>
      <c r="I19" s="19">
        <v>46027</v>
      </c>
      <c r="J19" s="22">
        <f t="shared" si="0"/>
        <v>275.9</v>
      </c>
      <c r="K19" s="22">
        <v>275.9</v>
      </c>
      <c r="L19" s="43">
        <f t="shared" si="1"/>
        <v>0</v>
      </c>
      <c r="M19" s="25"/>
      <c r="N19" s="31"/>
    </row>
    <row r="20" spans="2:14">
      <c r="B20" s="19">
        <v>46027</v>
      </c>
      <c r="C20" s="20" t="s">
        <v>15</v>
      </c>
      <c r="D20" s="21" t="s">
        <v>49</v>
      </c>
      <c r="E20" s="22">
        <v>644.8</v>
      </c>
      <c r="F20" s="23" t="s">
        <v>29</v>
      </c>
      <c r="G20" s="23"/>
      <c r="H20" s="21" t="s">
        <v>50</v>
      </c>
      <c r="I20" s="19">
        <v>46027</v>
      </c>
      <c r="J20" s="22">
        <f t="shared" si="0"/>
        <v>644.8</v>
      </c>
      <c r="K20" s="22">
        <v>644.8</v>
      </c>
      <c r="L20" s="43">
        <f t="shared" si="1"/>
        <v>0</v>
      </c>
      <c r="M20" s="25"/>
      <c r="N20" s="31"/>
    </row>
    <row r="21" spans="2:14">
      <c r="B21" s="19">
        <v>46027</v>
      </c>
      <c r="C21" s="20" t="s">
        <v>15</v>
      </c>
      <c r="D21" s="21" t="s">
        <v>51</v>
      </c>
      <c r="E21" s="22">
        <v>222.11</v>
      </c>
      <c r="F21" s="23" t="s">
        <v>17</v>
      </c>
      <c r="G21" s="23" t="s">
        <v>21</v>
      </c>
      <c r="H21" s="21" t="s">
        <v>52</v>
      </c>
      <c r="I21" s="19">
        <v>46027</v>
      </c>
      <c r="J21" s="22">
        <f t="shared" si="0"/>
        <v>222.11</v>
      </c>
      <c r="K21" s="22">
        <v>222.11</v>
      </c>
      <c r="L21" s="43">
        <f t="shared" si="1"/>
        <v>0</v>
      </c>
      <c r="M21" s="25"/>
      <c r="N21" s="31"/>
    </row>
    <row r="22" spans="2:14">
      <c r="B22" s="19">
        <v>46027</v>
      </c>
      <c r="C22" s="20" t="s">
        <v>15</v>
      </c>
      <c r="D22" s="21" t="s">
        <v>53</v>
      </c>
      <c r="E22" s="22">
        <v>657.41</v>
      </c>
      <c r="F22" s="23" t="s">
        <v>17</v>
      </c>
      <c r="G22" s="23" t="s">
        <v>18</v>
      </c>
      <c r="H22" s="21" t="s">
        <v>54</v>
      </c>
      <c r="I22" s="19">
        <v>46027</v>
      </c>
      <c r="J22" s="22">
        <f t="shared" si="0"/>
        <v>657.41</v>
      </c>
      <c r="K22" s="22">
        <v>657.41</v>
      </c>
      <c r="L22" s="43">
        <f t="shared" si="1"/>
        <v>0</v>
      </c>
      <c r="M22" s="25"/>
      <c r="N22" s="31"/>
    </row>
    <row r="23" spans="2:14">
      <c r="B23" s="97">
        <v>46027</v>
      </c>
      <c r="C23" s="98" t="s">
        <v>15</v>
      </c>
      <c r="D23" s="99" t="s">
        <v>55</v>
      </c>
      <c r="E23" s="100">
        <v>852.19</v>
      </c>
      <c r="F23" s="101" t="s">
        <v>17</v>
      </c>
      <c r="G23" s="101" t="s">
        <v>21</v>
      </c>
      <c r="H23" s="101" t="s">
        <v>42</v>
      </c>
      <c r="I23" s="97">
        <v>46027</v>
      </c>
      <c r="J23" s="100">
        <f t="shared" si="0"/>
        <v>852.19</v>
      </c>
      <c r="K23" s="100">
        <v>852.19</v>
      </c>
      <c r="L23" s="43">
        <f t="shared" si="1"/>
        <v>0</v>
      </c>
      <c r="M23" s="25"/>
      <c r="N23" s="70" t="s">
        <v>56</v>
      </c>
    </row>
    <row r="24" spans="2:14">
      <c r="B24" s="19">
        <v>46028</v>
      </c>
      <c r="C24" s="20" t="s">
        <v>15</v>
      </c>
      <c r="D24" s="21" t="s">
        <v>57</v>
      </c>
      <c r="E24" s="22">
        <v>1041.57</v>
      </c>
      <c r="F24" s="21" t="s">
        <v>17</v>
      </c>
      <c r="G24" s="23" t="s">
        <v>21</v>
      </c>
      <c r="H24" s="21" t="s">
        <v>42</v>
      </c>
      <c r="I24" s="19">
        <v>46028</v>
      </c>
      <c r="J24" s="22">
        <f t="shared" si="0"/>
        <v>1041.57</v>
      </c>
      <c r="K24" s="22">
        <v>1041.57</v>
      </c>
      <c r="L24" s="43">
        <f t="shared" si="1"/>
        <v>0</v>
      </c>
      <c r="M24" s="25"/>
      <c r="N24" s="31"/>
    </row>
    <row r="25" spans="2:14">
      <c r="B25" s="72">
        <v>46028</v>
      </c>
      <c r="C25" s="73" t="s">
        <v>15</v>
      </c>
      <c r="D25" s="74" t="s">
        <v>58</v>
      </c>
      <c r="E25" s="75">
        <v>344.19</v>
      </c>
      <c r="F25" s="74" t="s">
        <v>17</v>
      </c>
      <c r="G25" s="81" t="s">
        <v>21</v>
      </c>
      <c r="H25" s="74" t="s">
        <v>59</v>
      </c>
      <c r="I25" s="72">
        <v>46028</v>
      </c>
      <c r="J25" s="75">
        <f t="shared" si="0"/>
        <v>344.19</v>
      </c>
      <c r="K25" s="75">
        <v>344.19</v>
      </c>
      <c r="L25" s="43">
        <f t="shared" si="1"/>
        <v>0</v>
      </c>
      <c r="M25" s="25"/>
      <c r="N25" s="70" t="s">
        <v>60</v>
      </c>
    </row>
    <row r="26" spans="2:14">
      <c r="B26" s="72">
        <v>46028</v>
      </c>
      <c r="C26" s="73" t="s">
        <v>15</v>
      </c>
      <c r="D26" s="74" t="s">
        <v>61</v>
      </c>
      <c r="E26" s="75">
        <v>139.23</v>
      </c>
      <c r="F26" s="74" t="s">
        <v>17</v>
      </c>
      <c r="G26" s="81" t="s">
        <v>21</v>
      </c>
      <c r="H26" s="74" t="s">
        <v>62</v>
      </c>
      <c r="I26" s="72">
        <v>46028</v>
      </c>
      <c r="J26" s="75">
        <f t="shared" si="0"/>
        <v>139.23</v>
      </c>
      <c r="K26" s="75">
        <v>139.23</v>
      </c>
      <c r="L26" s="43">
        <f t="shared" si="1"/>
        <v>0</v>
      </c>
      <c r="M26" s="25"/>
      <c r="N26" s="70" t="s">
        <v>63</v>
      </c>
    </row>
    <row r="27" spans="2:14">
      <c r="B27" s="19">
        <v>46028</v>
      </c>
      <c r="C27" s="20" t="s">
        <v>64</v>
      </c>
      <c r="D27" s="21" t="s">
        <v>65</v>
      </c>
      <c r="E27" s="22">
        <v>146.28</v>
      </c>
      <c r="F27" s="21" t="s">
        <v>17</v>
      </c>
      <c r="G27" s="23" t="s">
        <v>21</v>
      </c>
      <c r="H27" s="21" t="s">
        <v>66</v>
      </c>
      <c r="I27" s="19">
        <v>46028</v>
      </c>
      <c r="J27" s="22">
        <f t="shared" si="0"/>
        <v>146.28</v>
      </c>
      <c r="K27" s="22">
        <v>146.28</v>
      </c>
      <c r="L27" s="43">
        <f t="shared" si="1"/>
        <v>0</v>
      </c>
      <c r="M27" s="25"/>
      <c r="N27" s="31"/>
    </row>
    <row r="28" spans="2:14">
      <c r="B28" s="97">
        <v>46028</v>
      </c>
      <c r="C28" s="98" t="s">
        <v>15</v>
      </c>
      <c r="D28" s="99" t="s">
        <v>67</v>
      </c>
      <c r="E28" s="100">
        <v>3294.95</v>
      </c>
      <c r="F28" s="99" t="s">
        <v>68</v>
      </c>
      <c r="G28" s="101"/>
      <c r="H28" s="99"/>
      <c r="I28" s="97">
        <v>46028</v>
      </c>
      <c r="J28" s="100">
        <f t="shared" si="0"/>
        <v>3294.95</v>
      </c>
      <c r="K28" s="100">
        <v>3294.95</v>
      </c>
      <c r="L28" s="43">
        <f t="shared" si="1"/>
        <v>0</v>
      </c>
      <c r="M28" s="25"/>
      <c r="N28" s="70" t="s">
        <v>56</v>
      </c>
    </row>
    <row r="29" spans="2:14">
      <c r="B29" s="97">
        <v>46028</v>
      </c>
      <c r="C29" s="98" t="s">
        <v>15</v>
      </c>
      <c r="D29" s="99" t="s">
        <v>69</v>
      </c>
      <c r="E29" s="100">
        <v>2808.45</v>
      </c>
      <c r="F29" s="99" t="s">
        <v>17</v>
      </c>
      <c r="G29" s="101" t="s">
        <v>21</v>
      </c>
      <c r="H29" s="99" t="s">
        <v>70</v>
      </c>
      <c r="I29" s="97">
        <v>46028</v>
      </c>
      <c r="J29" s="100">
        <f t="shared" si="0"/>
        <v>2808.45</v>
      </c>
      <c r="K29" s="100">
        <v>2808.45</v>
      </c>
      <c r="L29" s="43">
        <f t="shared" si="1"/>
        <v>0</v>
      </c>
      <c r="M29" s="25"/>
      <c r="N29" s="70" t="s">
        <v>56</v>
      </c>
    </row>
    <row r="30" spans="2:14">
      <c r="B30" s="97"/>
      <c r="C30" s="98"/>
      <c r="D30" s="122"/>
      <c r="E30" s="100"/>
      <c r="F30" s="99" t="s">
        <v>71</v>
      </c>
      <c r="G30" s="101"/>
      <c r="H30" s="99"/>
      <c r="I30" s="97"/>
      <c r="J30" s="100">
        <f t="shared" si="0"/>
        <v>0</v>
      </c>
      <c r="K30" s="100"/>
      <c r="L30" s="43">
        <f t="shared" si="1"/>
        <v>0</v>
      </c>
      <c r="M30" s="25"/>
      <c r="N30" s="31"/>
    </row>
    <row r="31" spans="2:14">
      <c r="B31" s="97">
        <v>46028</v>
      </c>
      <c r="C31" s="98" t="s">
        <v>15</v>
      </c>
      <c r="D31" s="99" t="s">
        <v>72</v>
      </c>
      <c r="E31" s="100">
        <v>2235.81</v>
      </c>
      <c r="F31" s="99" t="s">
        <v>17</v>
      </c>
      <c r="G31" s="99" t="s">
        <v>21</v>
      </c>
      <c r="H31" s="99" t="s">
        <v>73</v>
      </c>
      <c r="I31" s="97">
        <v>46028</v>
      </c>
      <c r="J31" s="100">
        <f t="shared" si="0"/>
        <v>2235.81</v>
      </c>
      <c r="K31" s="100">
        <v>2235.81</v>
      </c>
      <c r="L31" s="43">
        <f t="shared" si="1"/>
        <v>0</v>
      </c>
      <c r="M31" s="25"/>
      <c r="N31" s="70" t="s">
        <v>56</v>
      </c>
    </row>
    <row r="32" spans="2:14">
      <c r="B32" s="97"/>
      <c r="C32" s="98"/>
      <c r="D32" s="99"/>
      <c r="E32" s="100"/>
      <c r="F32" s="99" t="s">
        <v>71</v>
      </c>
      <c r="G32" s="99"/>
      <c r="H32" s="99"/>
      <c r="I32" s="97"/>
      <c r="J32" s="100">
        <f t="shared" si="0"/>
        <v>0</v>
      </c>
      <c r="K32" s="100"/>
      <c r="L32" s="43">
        <f t="shared" si="1"/>
        <v>0</v>
      </c>
      <c r="M32" s="25"/>
      <c r="N32" s="31"/>
    </row>
    <row r="33" spans="2:14">
      <c r="B33" s="72">
        <v>46029</v>
      </c>
      <c r="C33" s="73" t="s">
        <v>15</v>
      </c>
      <c r="D33" s="74" t="s">
        <v>74</v>
      </c>
      <c r="E33" s="75">
        <v>937.96</v>
      </c>
      <c r="F33" s="74" t="s">
        <v>17</v>
      </c>
      <c r="G33" s="81" t="s">
        <v>21</v>
      </c>
      <c r="H33" s="74" t="s">
        <v>75</v>
      </c>
      <c r="I33" s="72">
        <v>46029</v>
      </c>
      <c r="J33" s="75">
        <f t="shared" si="0"/>
        <v>937.96</v>
      </c>
      <c r="K33" s="75">
        <v>937.96</v>
      </c>
      <c r="L33" s="43">
        <f t="shared" si="1"/>
        <v>0</v>
      </c>
      <c r="M33" s="25"/>
      <c r="N33" s="70" t="s">
        <v>63</v>
      </c>
    </row>
    <row r="34" spans="2:14">
      <c r="B34" s="72">
        <v>46029</v>
      </c>
      <c r="C34" s="73" t="s">
        <v>15</v>
      </c>
      <c r="D34" s="74" t="s">
        <v>76</v>
      </c>
      <c r="E34" s="75">
        <v>219.36</v>
      </c>
      <c r="F34" s="74" t="s">
        <v>17</v>
      </c>
      <c r="G34" s="81" t="s">
        <v>21</v>
      </c>
      <c r="H34" s="74" t="s">
        <v>77</v>
      </c>
      <c r="I34" s="72">
        <v>46029</v>
      </c>
      <c r="J34" s="75">
        <f t="shared" si="0"/>
        <v>219.36</v>
      </c>
      <c r="K34" s="75">
        <v>219.36</v>
      </c>
      <c r="L34" s="43">
        <f t="shared" si="1"/>
        <v>0</v>
      </c>
      <c r="M34" s="25"/>
      <c r="N34" s="70" t="s">
        <v>33</v>
      </c>
    </row>
    <row r="35" spans="2:14">
      <c r="B35" s="19">
        <v>46029</v>
      </c>
      <c r="C35" s="20" t="s">
        <v>15</v>
      </c>
      <c r="D35" s="21" t="s">
        <v>78</v>
      </c>
      <c r="E35" s="22">
        <v>1373.7</v>
      </c>
      <c r="F35" s="21" t="s">
        <v>17</v>
      </c>
      <c r="G35" s="23" t="s">
        <v>79</v>
      </c>
      <c r="H35" s="21" t="s">
        <v>80</v>
      </c>
      <c r="I35" s="19">
        <v>46029</v>
      </c>
      <c r="J35" s="22">
        <f t="shared" si="0"/>
        <v>1373.7</v>
      </c>
      <c r="K35" s="22">
        <v>1373.7</v>
      </c>
      <c r="L35" s="43">
        <f t="shared" si="1"/>
        <v>0</v>
      </c>
      <c r="M35" s="25"/>
      <c r="N35" s="31"/>
    </row>
    <row r="36" spans="2:14">
      <c r="B36" s="72">
        <v>46029</v>
      </c>
      <c r="C36" s="73" t="s">
        <v>15</v>
      </c>
      <c r="D36" s="74" t="s">
        <v>81</v>
      </c>
      <c r="E36" s="75">
        <v>3881.87</v>
      </c>
      <c r="F36" s="74" t="s">
        <v>17</v>
      </c>
      <c r="G36" s="74" t="s">
        <v>82</v>
      </c>
      <c r="H36" s="74" t="s">
        <v>83</v>
      </c>
      <c r="I36" s="72">
        <v>46029</v>
      </c>
      <c r="J36" s="75">
        <f t="shared" si="0"/>
        <v>3881.87</v>
      </c>
      <c r="K36" s="75">
        <v>3881.87</v>
      </c>
      <c r="L36" s="43">
        <f t="shared" si="1"/>
        <v>0</v>
      </c>
      <c r="M36" s="25"/>
      <c r="N36" s="70" t="s">
        <v>23</v>
      </c>
    </row>
    <row r="37" spans="2:14">
      <c r="B37" s="72">
        <v>46029</v>
      </c>
      <c r="C37" s="73" t="s">
        <v>15</v>
      </c>
      <c r="D37" s="74" t="s">
        <v>84</v>
      </c>
      <c r="E37" s="75">
        <v>137.37</v>
      </c>
      <c r="F37" s="74" t="s">
        <v>17</v>
      </c>
      <c r="G37" s="81" t="s">
        <v>21</v>
      </c>
      <c r="H37" s="74" t="s">
        <v>85</v>
      </c>
      <c r="I37" s="72">
        <v>46029</v>
      </c>
      <c r="J37" s="75">
        <f t="shared" si="0"/>
        <v>137.37</v>
      </c>
      <c r="K37" s="75">
        <v>137.37</v>
      </c>
      <c r="L37" s="43">
        <f t="shared" si="1"/>
        <v>0</v>
      </c>
      <c r="M37" s="25"/>
      <c r="N37" s="70" t="s">
        <v>23</v>
      </c>
    </row>
    <row r="38" spans="2:14">
      <c r="B38" s="19">
        <v>46029</v>
      </c>
      <c r="C38" s="20" t="s">
        <v>15</v>
      </c>
      <c r="D38" s="21" t="s">
        <v>86</v>
      </c>
      <c r="E38" s="22">
        <v>817.7</v>
      </c>
      <c r="F38" s="21" t="s">
        <v>29</v>
      </c>
      <c r="G38" s="21"/>
      <c r="H38" s="21" t="s">
        <v>87</v>
      </c>
      <c r="I38" s="19">
        <v>46029</v>
      </c>
      <c r="J38" s="22">
        <f t="shared" si="0"/>
        <v>817.7</v>
      </c>
      <c r="K38" s="22">
        <v>817.7</v>
      </c>
      <c r="L38" s="43">
        <f t="shared" si="1"/>
        <v>0</v>
      </c>
      <c r="M38" s="25"/>
      <c r="N38" s="31"/>
    </row>
    <row r="39" spans="2:14">
      <c r="B39" s="19">
        <v>46029</v>
      </c>
      <c r="C39" s="20" t="s">
        <v>15</v>
      </c>
      <c r="D39" s="21" t="s">
        <v>88</v>
      </c>
      <c r="E39" s="22">
        <v>70.26</v>
      </c>
      <c r="F39" s="21" t="s">
        <v>29</v>
      </c>
      <c r="G39" s="23"/>
      <c r="H39" s="21" t="s">
        <v>89</v>
      </c>
      <c r="I39" s="19">
        <v>46029</v>
      </c>
      <c r="J39" s="22">
        <f t="shared" si="0"/>
        <v>70.26</v>
      </c>
      <c r="K39" s="22">
        <v>70.26</v>
      </c>
      <c r="L39" s="43">
        <f t="shared" si="1"/>
        <v>0</v>
      </c>
      <c r="M39" s="25"/>
      <c r="N39" s="31"/>
    </row>
    <row r="40" spans="2:14">
      <c r="B40" s="19">
        <v>46030</v>
      </c>
      <c r="C40" s="20" t="s">
        <v>15</v>
      </c>
      <c r="D40" s="21" t="s">
        <v>90</v>
      </c>
      <c r="E40" s="22">
        <v>187.59</v>
      </c>
      <c r="F40" s="21" t="s">
        <v>29</v>
      </c>
      <c r="G40" s="23"/>
      <c r="H40" s="21" t="s">
        <v>91</v>
      </c>
      <c r="I40" s="19">
        <v>46030</v>
      </c>
      <c r="J40" s="22">
        <f t="shared" si="0"/>
        <v>187.59</v>
      </c>
      <c r="K40" s="22">
        <v>187.59</v>
      </c>
      <c r="L40" s="43">
        <f t="shared" si="1"/>
        <v>0</v>
      </c>
      <c r="M40" s="25"/>
      <c r="N40" s="31"/>
    </row>
    <row r="41" spans="2:14">
      <c r="B41" s="19">
        <v>46030</v>
      </c>
      <c r="C41" s="20" t="s">
        <v>15</v>
      </c>
      <c r="D41" s="21" t="s">
        <v>92</v>
      </c>
      <c r="E41" s="22">
        <v>2191.38</v>
      </c>
      <c r="F41" s="21" t="s">
        <v>17</v>
      </c>
      <c r="G41" s="23" t="s">
        <v>18</v>
      </c>
      <c r="H41" s="21" t="s">
        <v>93</v>
      </c>
      <c r="I41" s="19">
        <v>46030</v>
      </c>
      <c r="J41" s="22">
        <f t="shared" si="0"/>
        <v>2191.38</v>
      </c>
      <c r="K41" s="22">
        <v>2191.38</v>
      </c>
      <c r="L41" s="43">
        <f t="shared" si="1"/>
        <v>0</v>
      </c>
      <c r="M41" s="25"/>
      <c r="N41" s="31"/>
    </row>
    <row r="42" spans="2:14">
      <c r="B42" s="72">
        <v>46030</v>
      </c>
      <c r="C42" s="73" t="s">
        <v>15</v>
      </c>
      <c r="D42" s="74" t="s">
        <v>94</v>
      </c>
      <c r="E42" s="75">
        <v>1441.64</v>
      </c>
      <c r="F42" s="74" t="s">
        <v>95</v>
      </c>
      <c r="G42" s="81"/>
      <c r="H42" s="74"/>
      <c r="I42" s="72">
        <v>46030</v>
      </c>
      <c r="J42" s="75">
        <f t="shared" si="0"/>
        <v>1441.64</v>
      </c>
      <c r="K42" s="75">
        <v>1441.64</v>
      </c>
      <c r="L42" s="43">
        <f t="shared" si="1"/>
        <v>0</v>
      </c>
      <c r="M42" s="25"/>
      <c r="N42" s="70" t="s">
        <v>23</v>
      </c>
    </row>
    <row r="43" spans="2:14">
      <c r="B43" s="19">
        <v>46030</v>
      </c>
      <c r="C43" s="20" t="s">
        <v>15</v>
      </c>
      <c r="D43" s="21" t="s">
        <v>96</v>
      </c>
      <c r="E43" s="22">
        <v>534.3</v>
      </c>
      <c r="F43" s="21" t="s">
        <v>17</v>
      </c>
      <c r="G43" s="23" t="s">
        <v>21</v>
      </c>
      <c r="H43" s="21" t="s">
        <v>97</v>
      </c>
      <c r="I43" s="19">
        <v>46030</v>
      </c>
      <c r="J43" s="22">
        <f t="shared" si="0"/>
        <v>534.3</v>
      </c>
      <c r="K43" s="22">
        <v>534.3</v>
      </c>
      <c r="L43" s="43">
        <f t="shared" si="1"/>
        <v>0</v>
      </c>
      <c r="M43" s="25"/>
      <c r="N43" s="24"/>
    </row>
    <row r="44" spans="2:14">
      <c r="B44" s="72">
        <v>46030</v>
      </c>
      <c r="C44" s="73" t="s">
        <v>15</v>
      </c>
      <c r="D44" s="74" t="s">
        <v>98</v>
      </c>
      <c r="E44" s="75">
        <v>56.3</v>
      </c>
      <c r="F44" s="74" t="s">
        <v>17</v>
      </c>
      <c r="G44" s="81" t="s">
        <v>21</v>
      </c>
      <c r="H44" s="74" t="s">
        <v>99</v>
      </c>
      <c r="I44" s="72">
        <v>46030</v>
      </c>
      <c r="J44" s="75">
        <f t="shared" si="0"/>
        <v>56.3</v>
      </c>
      <c r="K44" s="75">
        <v>56.3</v>
      </c>
      <c r="L44" s="43">
        <f t="shared" si="1"/>
        <v>0</v>
      </c>
      <c r="M44" s="25"/>
      <c r="N44" s="70" t="s">
        <v>100</v>
      </c>
    </row>
    <row r="45" spans="2:14">
      <c r="B45" s="97">
        <v>46030</v>
      </c>
      <c r="C45" s="98" t="s">
        <v>15</v>
      </c>
      <c r="D45" s="99" t="s">
        <v>101</v>
      </c>
      <c r="E45" s="100">
        <v>1737.66</v>
      </c>
      <c r="F45" s="99" t="s">
        <v>17</v>
      </c>
      <c r="G45" s="99" t="s">
        <v>21</v>
      </c>
      <c r="H45" s="99" t="s">
        <v>102</v>
      </c>
      <c r="I45" s="97">
        <v>46030</v>
      </c>
      <c r="J45" s="100">
        <f t="shared" si="0"/>
        <v>1737.66</v>
      </c>
      <c r="K45" s="100">
        <v>1737.66</v>
      </c>
      <c r="L45" s="43">
        <f t="shared" si="1"/>
        <v>0</v>
      </c>
      <c r="M45" s="25"/>
      <c r="N45" s="70" t="s">
        <v>56</v>
      </c>
    </row>
    <row r="46" spans="2:14">
      <c r="B46" s="72">
        <v>46031</v>
      </c>
      <c r="C46" s="73" t="s">
        <v>15</v>
      </c>
      <c r="D46" s="74" t="s">
        <v>103</v>
      </c>
      <c r="E46" s="75">
        <v>281.14</v>
      </c>
      <c r="F46" s="74" t="s">
        <v>29</v>
      </c>
      <c r="G46" s="74"/>
      <c r="H46" s="74" t="s">
        <v>104</v>
      </c>
      <c r="I46" s="72">
        <v>46031</v>
      </c>
      <c r="J46" s="75">
        <f t="shared" si="0"/>
        <v>281.14</v>
      </c>
      <c r="K46" s="75">
        <v>281.14</v>
      </c>
      <c r="L46" s="43">
        <f t="shared" si="1"/>
        <v>0</v>
      </c>
      <c r="M46" s="25"/>
      <c r="N46" s="31"/>
    </row>
    <row r="47" spans="2:14">
      <c r="B47" s="19">
        <v>46031</v>
      </c>
      <c r="C47" s="20" t="s">
        <v>15</v>
      </c>
      <c r="D47" s="21" t="s">
        <v>105</v>
      </c>
      <c r="E47" s="22">
        <v>2739.16</v>
      </c>
      <c r="F47" s="21" t="s">
        <v>17</v>
      </c>
      <c r="G47" s="23" t="s">
        <v>21</v>
      </c>
      <c r="H47" s="123" t="s">
        <v>106</v>
      </c>
      <c r="I47" s="19">
        <v>46031</v>
      </c>
      <c r="J47" s="22">
        <f t="shared" si="0"/>
        <v>2739.16</v>
      </c>
      <c r="K47" s="22">
        <v>2739.16</v>
      </c>
      <c r="L47" s="43">
        <f t="shared" si="1"/>
        <v>0</v>
      </c>
      <c r="M47" s="25"/>
      <c r="N47" s="31"/>
    </row>
    <row r="48" spans="2:14">
      <c r="B48" s="19">
        <v>46031</v>
      </c>
      <c r="C48" s="20" t="s">
        <v>15</v>
      </c>
      <c r="D48" s="21" t="s">
        <v>107</v>
      </c>
      <c r="E48" s="22">
        <v>398.8</v>
      </c>
      <c r="F48" s="21" t="s">
        <v>17</v>
      </c>
      <c r="G48" s="23" t="s">
        <v>21</v>
      </c>
      <c r="H48" s="21" t="s">
        <v>108</v>
      </c>
      <c r="I48" s="19">
        <v>46031</v>
      </c>
      <c r="J48" s="22">
        <f t="shared" si="0"/>
        <v>398.8</v>
      </c>
      <c r="K48" s="22">
        <v>398.8</v>
      </c>
      <c r="L48" s="43">
        <f t="shared" si="1"/>
        <v>0</v>
      </c>
      <c r="M48" s="25"/>
      <c r="N48" s="24"/>
    </row>
    <row r="49" spans="2:14">
      <c r="B49" s="19">
        <v>46031</v>
      </c>
      <c r="C49" s="20" t="s">
        <v>15</v>
      </c>
      <c r="D49" s="21" t="s">
        <v>109</v>
      </c>
      <c r="E49" s="22">
        <v>369.36</v>
      </c>
      <c r="F49" s="21" t="s">
        <v>17</v>
      </c>
      <c r="G49" s="23" t="s">
        <v>21</v>
      </c>
      <c r="H49" s="21" t="s">
        <v>110</v>
      </c>
      <c r="I49" s="19">
        <v>46031</v>
      </c>
      <c r="J49" s="22">
        <f t="shared" si="0"/>
        <v>369.36</v>
      </c>
      <c r="K49" s="22">
        <v>369.36</v>
      </c>
      <c r="L49" s="43">
        <f t="shared" si="1"/>
        <v>0</v>
      </c>
      <c r="M49" s="25"/>
      <c r="N49" s="24"/>
    </row>
    <row r="50" spans="2:14">
      <c r="B50" s="19">
        <v>46031</v>
      </c>
      <c r="C50" s="20" t="s">
        <v>15</v>
      </c>
      <c r="D50" s="21" t="s">
        <v>111</v>
      </c>
      <c r="E50" s="22">
        <v>438.28</v>
      </c>
      <c r="F50" s="21" t="s">
        <v>17</v>
      </c>
      <c r="G50" s="23" t="s">
        <v>21</v>
      </c>
      <c r="H50" s="21" t="s">
        <v>112</v>
      </c>
      <c r="I50" s="19">
        <v>46031</v>
      </c>
      <c r="J50" s="22">
        <f t="shared" si="0"/>
        <v>438.28</v>
      </c>
      <c r="K50" s="22">
        <v>438.28</v>
      </c>
      <c r="L50" s="43">
        <f t="shared" si="1"/>
        <v>0</v>
      </c>
      <c r="M50" s="25"/>
      <c r="N50" s="31"/>
    </row>
    <row r="51" spans="2:14">
      <c r="B51" s="72">
        <v>46031</v>
      </c>
      <c r="C51" s="73" t="s">
        <v>15</v>
      </c>
      <c r="D51" s="74" t="s">
        <v>113</v>
      </c>
      <c r="E51" s="75">
        <v>810.19</v>
      </c>
      <c r="F51" s="74" t="s">
        <v>17</v>
      </c>
      <c r="G51" s="81" t="s">
        <v>21</v>
      </c>
      <c r="H51" s="74" t="s">
        <v>114</v>
      </c>
      <c r="I51" s="72">
        <v>46031</v>
      </c>
      <c r="J51" s="75">
        <f t="shared" si="0"/>
        <v>810.19</v>
      </c>
      <c r="K51" s="75">
        <v>810.19</v>
      </c>
      <c r="L51" s="43">
        <f t="shared" si="1"/>
        <v>0</v>
      </c>
      <c r="M51" s="25"/>
      <c r="N51" s="31"/>
    </row>
    <row r="52" spans="2:14">
      <c r="B52" s="19">
        <v>46031</v>
      </c>
      <c r="C52" s="20" t="s">
        <v>15</v>
      </c>
      <c r="D52" s="21" t="s">
        <v>115</v>
      </c>
      <c r="E52" s="22">
        <v>303.6</v>
      </c>
      <c r="F52" s="21" t="s">
        <v>17</v>
      </c>
      <c r="G52" s="23" t="s">
        <v>21</v>
      </c>
      <c r="H52" s="21" t="s">
        <v>116</v>
      </c>
      <c r="I52" s="19">
        <v>46031</v>
      </c>
      <c r="J52" s="22">
        <f t="shared" si="0"/>
        <v>303.6</v>
      </c>
      <c r="K52" s="22">
        <v>303.6</v>
      </c>
      <c r="L52" s="43">
        <f t="shared" si="1"/>
        <v>0</v>
      </c>
      <c r="M52" s="25"/>
      <c r="N52" s="31"/>
    </row>
    <row r="53" spans="2:14">
      <c r="B53" s="19">
        <v>46031</v>
      </c>
      <c r="C53" s="20" t="s">
        <v>15</v>
      </c>
      <c r="D53" s="21" t="s">
        <v>117</v>
      </c>
      <c r="E53" s="22">
        <v>35.91</v>
      </c>
      <c r="F53" s="21" t="s">
        <v>29</v>
      </c>
      <c r="G53" s="21"/>
      <c r="H53" s="21" t="s">
        <v>118</v>
      </c>
      <c r="I53" s="19">
        <v>46031</v>
      </c>
      <c r="J53" s="22">
        <f t="shared" si="0"/>
        <v>35.91</v>
      </c>
      <c r="K53" s="22">
        <v>35.91</v>
      </c>
      <c r="L53" s="43">
        <f t="shared" si="1"/>
        <v>0</v>
      </c>
      <c r="M53" s="25"/>
      <c r="N53" s="24"/>
    </row>
    <row r="54" spans="2:14">
      <c r="B54" s="64">
        <v>46031</v>
      </c>
      <c r="C54" s="65" t="s">
        <v>15</v>
      </c>
      <c r="D54" s="66" t="s">
        <v>119</v>
      </c>
      <c r="E54" s="67">
        <v>1817.66</v>
      </c>
      <c r="F54" s="66" t="s">
        <v>17</v>
      </c>
      <c r="G54" s="88" t="s">
        <v>21</v>
      </c>
      <c r="H54" s="66" t="s">
        <v>102</v>
      </c>
      <c r="I54" s="64">
        <v>46031</v>
      </c>
      <c r="J54" s="67">
        <f t="shared" si="0"/>
        <v>1817.66</v>
      </c>
      <c r="K54" s="67">
        <v>1817.66</v>
      </c>
      <c r="L54" s="43">
        <f t="shared" si="1"/>
        <v>0</v>
      </c>
      <c r="M54" s="25"/>
      <c r="N54" s="70" t="s">
        <v>120</v>
      </c>
    </row>
    <row r="55" spans="2:14">
      <c r="B55" s="64"/>
      <c r="C55" s="65"/>
      <c r="D55" s="66"/>
      <c r="E55" s="67"/>
      <c r="F55" s="66"/>
      <c r="G55" s="88" t="s">
        <v>21</v>
      </c>
      <c r="H55" s="66" t="s">
        <v>110</v>
      </c>
      <c r="I55" s="64"/>
      <c r="J55" s="67">
        <f t="shared" si="0"/>
        <v>0</v>
      </c>
      <c r="K55" s="67"/>
      <c r="L55" s="43">
        <f t="shared" si="1"/>
        <v>0</v>
      </c>
      <c r="M55" s="25"/>
      <c r="N55" s="31"/>
    </row>
    <row r="56" spans="2:14">
      <c r="B56" s="72">
        <v>46032</v>
      </c>
      <c r="C56" s="73" t="s">
        <v>15</v>
      </c>
      <c r="D56" s="74" t="s">
        <v>121</v>
      </c>
      <c r="E56" s="75">
        <v>52.53</v>
      </c>
      <c r="F56" s="74" t="s">
        <v>29</v>
      </c>
      <c r="G56" s="74"/>
      <c r="H56" s="74" t="s">
        <v>122</v>
      </c>
      <c r="I56" s="72">
        <v>46032</v>
      </c>
      <c r="J56" s="75">
        <f t="shared" si="0"/>
        <v>52.53</v>
      </c>
      <c r="K56" s="75">
        <v>52.53</v>
      </c>
      <c r="L56" s="43">
        <f t="shared" si="1"/>
        <v>0</v>
      </c>
      <c r="M56" s="25"/>
      <c r="N56" s="70" t="s">
        <v>23</v>
      </c>
    </row>
    <row r="57" spans="2:14">
      <c r="B57" s="19">
        <v>46032</v>
      </c>
      <c r="C57" s="20" t="s">
        <v>64</v>
      </c>
      <c r="D57" s="21" t="s">
        <v>123</v>
      </c>
      <c r="E57" s="22">
        <v>300.58</v>
      </c>
      <c r="F57" s="21" t="s">
        <v>17</v>
      </c>
      <c r="G57" s="23" t="s">
        <v>21</v>
      </c>
      <c r="H57" s="21" t="s">
        <v>124</v>
      </c>
      <c r="I57" s="19">
        <v>46032</v>
      </c>
      <c r="J57" s="22">
        <f t="shared" si="0"/>
        <v>300.58</v>
      </c>
      <c r="K57" s="22">
        <v>300.58</v>
      </c>
      <c r="L57" s="43">
        <f t="shared" si="1"/>
        <v>0</v>
      </c>
      <c r="M57" s="25"/>
      <c r="N57" s="31"/>
    </row>
    <row r="58" spans="2:14">
      <c r="B58" s="19">
        <v>46034</v>
      </c>
      <c r="C58" s="20" t="s">
        <v>15</v>
      </c>
      <c r="D58" s="21" t="s">
        <v>125</v>
      </c>
      <c r="E58" s="22">
        <v>370.69</v>
      </c>
      <c r="F58" s="21" t="s">
        <v>29</v>
      </c>
      <c r="G58" s="21"/>
      <c r="H58" s="21" t="s">
        <v>126</v>
      </c>
      <c r="I58" s="19">
        <v>46034</v>
      </c>
      <c r="J58" s="22">
        <f t="shared" si="0"/>
        <v>370.69</v>
      </c>
      <c r="K58" s="22">
        <v>370.69</v>
      </c>
      <c r="L58" s="43">
        <f t="shared" si="1"/>
        <v>0</v>
      </c>
      <c r="M58" s="25"/>
      <c r="N58" s="31"/>
    </row>
    <row r="59" spans="2:14">
      <c r="B59" s="19">
        <v>46034</v>
      </c>
      <c r="C59" s="20" t="s">
        <v>15</v>
      </c>
      <c r="D59" s="21" t="s">
        <v>127</v>
      </c>
      <c r="E59" s="22">
        <v>140.76</v>
      </c>
      <c r="F59" s="21" t="s">
        <v>29</v>
      </c>
      <c r="G59" s="21"/>
      <c r="H59" s="21" t="s">
        <v>128</v>
      </c>
      <c r="I59" s="19">
        <v>46034</v>
      </c>
      <c r="J59" s="22">
        <f t="shared" si="0"/>
        <v>140.76</v>
      </c>
      <c r="K59" s="22">
        <v>140.76</v>
      </c>
      <c r="L59" s="43">
        <f t="shared" si="1"/>
        <v>0</v>
      </c>
      <c r="M59" s="25"/>
      <c r="N59" s="31"/>
    </row>
    <row r="60" spans="2:14">
      <c r="B60" s="72">
        <v>46034</v>
      </c>
      <c r="C60" s="73" t="s">
        <v>15</v>
      </c>
      <c r="D60" s="74" t="s">
        <v>129</v>
      </c>
      <c r="E60" s="75">
        <v>176</v>
      </c>
      <c r="F60" s="74" t="s">
        <v>17</v>
      </c>
      <c r="G60" s="81" t="s">
        <v>21</v>
      </c>
      <c r="H60" s="74" t="s">
        <v>130</v>
      </c>
      <c r="I60" s="72">
        <v>46034</v>
      </c>
      <c r="J60" s="75">
        <f t="shared" si="0"/>
        <v>176</v>
      </c>
      <c r="K60" s="75">
        <v>176</v>
      </c>
      <c r="L60" s="43">
        <f t="shared" si="1"/>
        <v>0</v>
      </c>
      <c r="M60" s="25"/>
      <c r="N60" s="70" t="s">
        <v>33</v>
      </c>
    </row>
    <row r="61" spans="2:14">
      <c r="B61" s="19">
        <v>46034</v>
      </c>
      <c r="C61" s="20" t="s">
        <v>15</v>
      </c>
      <c r="D61" s="21" t="s">
        <v>131</v>
      </c>
      <c r="E61" s="22">
        <v>182.53</v>
      </c>
      <c r="F61" s="21" t="s">
        <v>132</v>
      </c>
      <c r="G61" s="21"/>
      <c r="H61" s="21"/>
      <c r="I61" s="19">
        <v>46034</v>
      </c>
      <c r="J61" s="22">
        <f t="shared" si="0"/>
        <v>182.53</v>
      </c>
      <c r="K61" s="22">
        <v>182.53</v>
      </c>
      <c r="L61" s="43">
        <f t="shared" si="1"/>
        <v>0</v>
      </c>
      <c r="M61" s="25"/>
      <c r="N61" s="24"/>
    </row>
    <row r="62" spans="2:14">
      <c r="B62" s="19">
        <v>46034</v>
      </c>
      <c r="C62" s="20" t="s">
        <v>15</v>
      </c>
      <c r="D62" s="21" t="s">
        <v>133</v>
      </c>
      <c r="E62" s="22">
        <v>146.28</v>
      </c>
      <c r="F62" s="21" t="s">
        <v>17</v>
      </c>
      <c r="G62" s="23" t="s">
        <v>21</v>
      </c>
      <c r="H62" s="21" t="s">
        <v>134</v>
      </c>
      <c r="I62" s="19">
        <v>46034</v>
      </c>
      <c r="J62" s="22">
        <f t="shared" si="0"/>
        <v>146.28</v>
      </c>
      <c r="K62" s="22">
        <v>146.28</v>
      </c>
      <c r="L62" s="43">
        <f t="shared" si="1"/>
        <v>0</v>
      </c>
      <c r="M62" s="25"/>
      <c r="N62" s="31"/>
    </row>
    <row r="63" spans="2:14">
      <c r="B63" s="19">
        <v>46035</v>
      </c>
      <c r="C63" s="20" t="s">
        <v>15</v>
      </c>
      <c r="D63" s="21" t="s">
        <v>135</v>
      </c>
      <c r="E63" s="22">
        <v>187.59</v>
      </c>
      <c r="F63" s="21" t="s">
        <v>17</v>
      </c>
      <c r="G63" s="23" t="s">
        <v>18</v>
      </c>
      <c r="H63" s="21" t="s">
        <v>136</v>
      </c>
      <c r="I63" s="19">
        <v>46035</v>
      </c>
      <c r="J63" s="22">
        <f t="shared" si="0"/>
        <v>187.59</v>
      </c>
      <c r="K63" s="22">
        <v>187.59</v>
      </c>
      <c r="L63" s="43">
        <f t="shared" si="1"/>
        <v>0</v>
      </c>
      <c r="M63" s="25"/>
      <c r="N63" s="31"/>
    </row>
    <row r="64" spans="2:14">
      <c r="B64" s="19">
        <v>46035</v>
      </c>
      <c r="C64" s="20" t="s">
        <v>15</v>
      </c>
      <c r="D64" s="21" t="s">
        <v>137</v>
      </c>
      <c r="E64" s="22">
        <v>1283.14</v>
      </c>
      <c r="F64" s="21" t="s">
        <v>17</v>
      </c>
      <c r="G64" s="23" t="s">
        <v>21</v>
      </c>
      <c r="H64" s="21" t="s">
        <v>138</v>
      </c>
      <c r="I64" s="19">
        <v>46035</v>
      </c>
      <c r="J64" s="22">
        <f t="shared" si="0"/>
        <v>1283.14</v>
      </c>
      <c r="K64" s="22">
        <v>1283.14</v>
      </c>
      <c r="L64" s="43">
        <f t="shared" si="1"/>
        <v>0</v>
      </c>
      <c r="M64" s="25"/>
      <c r="N64" s="31"/>
    </row>
    <row r="65" spans="2:14">
      <c r="B65" s="72">
        <v>46035</v>
      </c>
      <c r="C65" s="73" t="s">
        <v>15</v>
      </c>
      <c r="D65" s="74" t="s">
        <v>139</v>
      </c>
      <c r="E65" s="75">
        <v>103.4</v>
      </c>
      <c r="F65" s="74" t="s">
        <v>17</v>
      </c>
      <c r="G65" s="81" t="s">
        <v>21</v>
      </c>
      <c r="H65" s="74" t="s">
        <v>140</v>
      </c>
      <c r="I65" s="72">
        <v>46035</v>
      </c>
      <c r="J65" s="75">
        <f t="shared" si="0"/>
        <v>103.4</v>
      </c>
      <c r="K65" s="75">
        <v>103.4</v>
      </c>
      <c r="L65" s="43">
        <f t="shared" si="1"/>
        <v>0</v>
      </c>
      <c r="M65" s="25"/>
      <c r="N65" s="70" t="s">
        <v>63</v>
      </c>
    </row>
    <row r="66" spans="2:14">
      <c r="B66" s="72">
        <v>46035</v>
      </c>
      <c r="C66" s="73" t="s">
        <v>15</v>
      </c>
      <c r="D66" s="74" t="s">
        <v>141</v>
      </c>
      <c r="E66" s="75">
        <v>519.96</v>
      </c>
      <c r="F66" s="74" t="s">
        <v>29</v>
      </c>
      <c r="G66" s="74"/>
      <c r="H66" s="74" t="s">
        <v>142</v>
      </c>
      <c r="I66" s="72">
        <v>46035</v>
      </c>
      <c r="J66" s="75">
        <f t="shared" si="0"/>
        <v>519.96</v>
      </c>
      <c r="K66" s="75">
        <v>519.96</v>
      </c>
      <c r="L66" s="43">
        <f t="shared" si="1"/>
        <v>0</v>
      </c>
      <c r="M66" s="25"/>
      <c r="N66" s="70" t="s">
        <v>23</v>
      </c>
    </row>
    <row r="67" spans="2:14">
      <c r="B67" s="72"/>
      <c r="C67" s="73"/>
      <c r="D67" s="74"/>
      <c r="E67" s="75"/>
      <c r="F67" s="74" t="s">
        <v>29</v>
      </c>
      <c r="G67" s="74"/>
      <c r="H67" s="74" t="s">
        <v>143</v>
      </c>
      <c r="I67" s="72"/>
      <c r="J67" s="75">
        <f t="shared" si="0"/>
        <v>0</v>
      </c>
      <c r="K67" s="75"/>
      <c r="L67" s="43">
        <f t="shared" si="1"/>
        <v>0</v>
      </c>
      <c r="M67" s="25"/>
      <c r="N67" s="31"/>
    </row>
    <row r="68" spans="2:14">
      <c r="B68" s="19">
        <v>46035</v>
      </c>
      <c r="C68" s="20" t="s">
        <v>64</v>
      </c>
      <c r="D68" s="21" t="s">
        <v>144</v>
      </c>
      <c r="E68" s="22">
        <v>75.82</v>
      </c>
      <c r="F68" s="21" t="s">
        <v>29</v>
      </c>
      <c r="G68" s="21"/>
      <c r="H68" s="21" t="s">
        <v>145</v>
      </c>
      <c r="I68" s="19">
        <v>46035</v>
      </c>
      <c r="J68" s="22">
        <f t="shared" si="0"/>
        <v>75.82</v>
      </c>
      <c r="K68" s="22">
        <v>75.82</v>
      </c>
      <c r="L68" s="43">
        <f t="shared" si="1"/>
        <v>0</v>
      </c>
      <c r="M68" s="25"/>
      <c r="N68" s="24"/>
    </row>
    <row r="69" spans="2:14">
      <c r="B69" s="97">
        <v>46035</v>
      </c>
      <c r="C69" s="98" t="s">
        <v>15</v>
      </c>
      <c r="D69" s="99" t="s">
        <v>146</v>
      </c>
      <c r="E69" s="100">
        <v>514.84</v>
      </c>
      <c r="F69" s="99" t="s">
        <v>17</v>
      </c>
      <c r="G69" s="101" t="s">
        <v>21</v>
      </c>
      <c r="H69" s="99" t="s">
        <v>147</v>
      </c>
      <c r="I69" s="97">
        <v>46035</v>
      </c>
      <c r="J69" s="100">
        <f t="shared" si="0"/>
        <v>514.84</v>
      </c>
      <c r="K69" s="100">
        <v>514.84</v>
      </c>
      <c r="L69" s="43">
        <f t="shared" si="1"/>
        <v>0</v>
      </c>
      <c r="M69" s="25"/>
      <c r="N69" s="70" t="s">
        <v>56</v>
      </c>
    </row>
    <row r="70" spans="2:14">
      <c r="B70" s="19">
        <v>46036</v>
      </c>
      <c r="C70" s="20" t="s">
        <v>15</v>
      </c>
      <c r="D70" s="21" t="s">
        <v>148</v>
      </c>
      <c r="E70" s="22">
        <v>275.94</v>
      </c>
      <c r="F70" s="21" t="s">
        <v>29</v>
      </c>
      <c r="G70" s="21"/>
      <c r="H70" s="21" t="s">
        <v>149</v>
      </c>
      <c r="I70" s="19">
        <v>46036</v>
      </c>
      <c r="J70" s="22">
        <f t="shared" si="0"/>
        <v>275.94</v>
      </c>
      <c r="K70" s="22">
        <v>275.94</v>
      </c>
      <c r="L70" s="43">
        <f t="shared" si="1"/>
        <v>0</v>
      </c>
      <c r="M70" s="25"/>
      <c r="N70" s="31"/>
    </row>
    <row r="71" spans="2:14">
      <c r="B71" s="19">
        <v>46036</v>
      </c>
      <c r="C71" s="20" t="s">
        <v>15</v>
      </c>
      <c r="D71" s="21" t="s">
        <v>150</v>
      </c>
      <c r="E71" s="22">
        <v>2322.27</v>
      </c>
      <c r="F71" s="21" t="s">
        <v>17</v>
      </c>
      <c r="G71" s="21" t="s">
        <v>18</v>
      </c>
      <c r="H71" s="21" t="s">
        <v>151</v>
      </c>
      <c r="I71" s="19">
        <v>46036</v>
      </c>
      <c r="J71" s="22">
        <f t="shared" si="0"/>
        <v>2322.27</v>
      </c>
      <c r="K71" s="22">
        <v>2322.27</v>
      </c>
      <c r="L71" s="43">
        <f t="shared" si="1"/>
        <v>0</v>
      </c>
      <c r="M71" s="25"/>
      <c r="N71" s="31"/>
    </row>
    <row r="72" spans="2:14">
      <c r="B72" s="19">
        <v>46036</v>
      </c>
      <c r="C72" s="20" t="s">
        <v>15</v>
      </c>
      <c r="D72" s="21" t="s">
        <v>152</v>
      </c>
      <c r="E72" s="22">
        <v>174.44</v>
      </c>
      <c r="F72" s="21" t="s">
        <v>17</v>
      </c>
      <c r="G72" s="21" t="s">
        <v>21</v>
      </c>
      <c r="H72" s="21" t="s">
        <v>153</v>
      </c>
      <c r="I72" s="19">
        <v>46036</v>
      </c>
      <c r="J72" s="22">
        <f t="shared" ref="J72:J135" si="2">E72</f>
        <v>174.44</v>
      </c>
      <c r="K72" s="22">
        <v>174.44</v>
      </c>
      <c r="L72" s="43">
        <f t="shared" ref="L72:L135" si="3">J72-K72</f>
        <v>0</v>
      </c>
      <c r="M72" s="25"/>
      <c r="N72" s="31"/>
    </row>
    <row r="73" spans="2:14">
      <c r="B73" s="97">
        <v>46036</v>
      </c>
      <c r="C73" s="98" t="s">
        <v>15</v>
      </c>
      <c r="D73" s="99" t="s">
        <v>154</v>
      </c>
      <c r="E73" s="100">
        <v>416.69</v>
      </c>
      <c r="F73" s="99" t="s">
        <v>17</v>
      </c>
      <c r="G73" s="99" t="s">
        <v>21</v>
      </c>
      <c r="H73" s="99" t="s">
        <v>155</v>
      </c>
      <c r="I73" s="97">
        <v>46035</v>
      </c>
      <c r="J73" s="100">
        <f t="shared" si="2"/>
        <v>416.69</v>
      </c>
      <c r="K73" s="100">
        <v>416.69</v>
      </c>
      <c r="L73" s="43">
        <f t="shared" si="3"/>
        <v>0</v>
      </c>
      <c r="M73" s="25"/>
      <c r="N73" s="70" t="s">
        <v>56</v>
      </c>
    </row>
    <row r="74" spans="2:14">
      <c r="B74" s="97">
        <v>46036</v>
      </c>
      <c r="C74" s="98" t="s">
        <v>15</v>
      </c>
      <c r="D74" s="99" t="s">
        <v>156</v>
      </c>
      <c r="E74" s="100">
        <v>833.38</v>
      </c>
      <c r="F74" s="99" t="s">
        <v>17</v>
      </c>
      <c r="G74" s="99" t="s">
        <v>21</v>
      </c>
      <c r="H74" s="99" t="s">
        <v>157</v>
      </c>
      <c r="I74" s="97">
        <v>46035</v>
      </c>
      <c r="J74" s="100">
        <f t="shared" si="2"/>
        <v>833.38</v>
      </c>
      <c r="K74" s="100">
        <v>833.38</v>
      </c>
      <c r="L74" s="43">
        <f t="shared" si="3"/>
        <v>0</v>
      </c>
      <c r="M74" s="25"/>
      <c r="N74" s="70" t="s">
        <v>56</v>
      </c>
    </row>
    <row r="75" spans="2:14">
      <c r="B75" s="97">
        <v>46036</v>
      </c>
      <c r="C75" s="98" t="s">
        <v>15</v>
      </c>
      <c r="D75" s="99" t="s">
        <v>158</v>
      </c>
      <c r="E75" s="100">
        <v>505.52</v>
      </c>
      <c r="F75" s="99" t="s">
        <v>17</v>
      </c>
      <c r="G75" s="99" t="s">
        <v>21</v>
      </c>
      <c r="H75" s="99" t="s">
        <v>159</v>
      </c>
      <c r="I75" s="97">
        <v>46036</v>
      </c>
      <c r="J75" s="100">
        <f t="shared" si="2"/>
        <v>505.52</v>
      </c>
      <c r="K75" s="100">
        <v>505.52</v>
      </c>
      <c r="L75" s="43">
        <f t="shared" si="3"/>
        <v>0</v>
      </c>
      <c r="M75" s="25"/>
      <c r="N75" s="70" t="s">
        <v>56</v>
      </c>
    </row>
    <row r="76" spans="2:14">
      <c r="B76" s="19">
        <v>46036</v>
      </c>
      <c r="C76" s="20" t="s">
        <v>64</v>
      </c>
      <c r="D76" s="21" t="s">
        <v>160</v>
      </c>
      <c r="E76" s="22">
        <v>68.22</v>
      </c>
      <c r="F76" s="21" t="s">
        <v>29</v>
      </c>
      <c r="G76" s="21"/>
      <c r="H76" s="21" t="s">
        <v>161</v>
      </c>
      <c r="I76" s="19">
        <v>46036</v>
      </c>
      <c r="J76" s="22">
        <f t="shared" si="2"/>
        <v>68.22</v>
      </c>
      <c r="K76" s="22">
        <v>68.22</v>
      </c>
      <c r="L76" s="43">
        <f t="shared" si="3"/>
        <v>0</v>
      </c>
      <c r="M76" s="25"/>
      <c r="N76" s="31"/>
    </row>
    <row r="77" spans="2:14">
      <c r="B77" s="72">
        <v>46037</v>
      </c>
      <c r="C77" s="73" t="s">
        <v>15</v>
      </c>
      <c r="D77" s="74" t="s">
        <v>162</v>
      </c>
      <c r="E77" s="75">
        <v>3105.5</v>
      </c>
      <c r="F77" s="74" t="s">
        <v>17</v>
      </c>
      <c r="G77" s="74" t="s">
        <v>18</v>
      </c>
      <c r="H77" s="74" t="s">
        <v>163</v>
      </c>
      <c r="I77" s="72">
        <v>46036</v>
      </c>
      <c r="J77" s="75">
        <f t="shared" si="2"/>
        <v>3105.5</v>
      </c>
      <c r="K77" s="75">
        <v>3105.5</v>
      </c>
      <c r="L77" s="43">
        <f t="shared" si="3"/>
        <v>0</v>
      </c>
      <c r="M77" s="25"/>
      <c r="N77" s="70" t="s">
        <v>23</v>
      </c>
    </row>
    <row r="78" spans="2:14">
      <c r="B78" s="72">
        <v>46037</v>
      </c>
      <c r="C78" s="73" t="s">
        <v>15</v>
      </c>
      <c r="D78" s="74" t="s">
        <v>164</v>
      </c>
      <c r="E78" s="75">
        <v>573.39</v>
      </c>
      <c r="F78" s="74" t="s">
        <v>17</v>
      </c>
      <c r="G78" s="74" t="s">
        <v>21</v>
      </c>
      <c r="H78" s="74" t="s">
        <v>165</v>
      </c>
      <c r="I78" s="72">
        <v>46037</v>
      </c>
      <c r="J78" s="75">
        <f t="shared" si="2"/>
        <v>573.39</v>
      </c>
      <c r="K78" s="75">
        <v>573.39</v>
      </c>
      <c r="L78" s="43">
        <f t="shared" si="3"/>
        <v>0</v>
      </c>
      <c r="M78" s="25"/>
      <c r="N78" s="70" t="s">
        <v>39</v>
      </c>
    </row>
    <row r="79" spans="2:14">
      <c r="B79" s="72">
        <v>46037</v>
      </c>
      <c r="C79" s="73" t="s">
        <v>15</v>
      </c>
      <c r="D79" s="74" t="s">
        <v>166</v>
      </c>
      <c r="E79" s="75">
        <v>419.66</v>
      </c>
      <c r="F79" s="74" t="s">
        <v>17</v>
      </c>
      <c r="G79" s="74" t="s">
        <v>21</v>
      </c>
      <c r="H79" s="74" t="s">
        <v>167</v>
      </c>
      <c r="I79" s="72">
        <v>46037</v>
      </c>
      <c r="J79" s="75">
        <f t="shared" si="2"/>
        <v>419.66</v>
      </c>
      <c r="K79" s="75">
        <v>419.66</v>
      </c>
      <c r="L79" s="43">
        <f t="shared" si="3"/>
        <v>0</v>
      </c>
      <c r="M79" s="25"/>
      <c r="N79" s="70" t="s">
        <v>23</v>
      </c>
    </row>
    <row r="80" spans="2:14">
      <c r="B80" s="72">
        <v>46037</v>
      </c>
      <c r="C80" s="73" t="s">
        <v>15</v>
      </c>
      <c r="D80" s="74" t="s">
        <v>168</v>
      </c>
      <c r="E80" s="75">
        <v>259.32</v>
      </c>
      <c r="F80" s="74" t="s">
        <v>17</v>
      </c>
      <c r="G80" s="74" t="s">
        <v>21</v>
      </c>
      <c r="H80" s="74" t="s">
        <v>169</v>
      </c>
      <c r="I80" s="72">
        <v>46037</v>
      </c>
      <c r="J80" s="75">
        <f t="shared" si="2"/>
        <v>259.32</v>
      </c>
      <c r="K80" s="75">
        <v>259.32</v>
      </c>
      <c r="L80" s="43">
        <f t="shared" si="3"/>
        <v>0</v>
      </c>
      <c r="M80" s="25"/>
      <c r="N80" s="70" t="s">
        <v>23</v>
      </c>
    </row>
    <row r="81" spans="2:14">
      <c r="B81" s="19">
        <v>46037</v>
      </c>
      <c r="C81" s="20" t="s">
        <v>15</v>
      </c>
      <c r="D81" s="21" t="s">
        <v>170</v>
      </c>
      <c r="E81" s="22">
        <v>379.93</v>
      </c>
      <c r="F81" s="21" t="s">
        <v>17</v>
      </c>
      <c r="G81" s="21"/>
      <c r="H81" s="21"/>
      <c r="I81" s="19">
        <v>46037</v>
      </c>
      <c r="J81" s="22">
        <f t="shared" si="2"/>
        <v>379.93</v>
      </c>
      <c r="K81" s="22">
        <v>379.93</v>
      </c>
      <c r="L81" s="43">
        <f t="shared" si="3"/>
        <v>0</v>
      </c>
      <c r="M81" s="25"/>
      <c r="N81" s="31"/>
    </row>
    <row r="82" spans="2:14">
      <c r="B82" s="19">
        <v>46037</v>
      </c>
      <c r="C82" s="20" t="s">
        <v>15</v>
      </c>
      <c r="D82" s="21" t="s">
        <v>171</v>
      </c>
      <c r="E82" s="22">
        <v>582.75</v>
      </c>
      <c r="F82" s="21" t="s">
        <v>29</v>
      </c>
      <c r="G82" s="21"/>
      <c r="H82" s="21" t="s">
        <v>172</v>
      </c>
      <c r="I82" s="19">
        <v>46037</v>
      </c>
      <c r="J82" s="22">
        <f t="shared" si="2"/>
        <v>582.75</v>
      </c>
      <c r="K82" s="22">
        <v>582.75</v>
      </c>
      <c r="L82" s="43">
        <f t="shared" si="3"/>
        <v>0</v>
      </c>
      <c r="M82" s="25"/>
      <c r="N82" s="31"/>
    </row>
    <row r="83" spans="2:14">
      <c r="B83" s="72">
        <v>46037</v>
      </c>
      <c r="C83" s="73" t="s">
        <v>15</v>
      </c>
      <c r="D83" s="74" t="s">
        <v>173</v>
      </c>
      <c r="E83" s="75">
        <v>339.89</v>
      </c>
      <c r="F83" s="74" t="s">
        <v>17</v>
      </c>
      <c r="G83" s="74" t="s">
        <v>21</v>
      </c>
      <c r="H83" s="74" t="s">
        <v>174</v>
      </c>
      <c r="I83" s="72">
        <v>46037</v>
      </c>
      <c r="J83" s="75">
        <f t="shared" si="2"/>
        <v>339.89</v>
      </c>
      <c r="K83" s="75">
        <v>339.89</v>
      </c>
      <c r="L83" s="43">
        <f t="shared" si="3"/>
        <v>0</v>
      </c>
      <c r="M83" s="25"/>
      <c r="N83" s="70" t="s">
        <v>23</v>
      </c>
    </row>
    <row r="84" spans="2:14">
      <c r="B84" s="97">
        <v>46037</v>
      </c>
      <c r="C84" s="98" t="s">
        <v>15</v>
      </c>
      <c r="D84" s="99" t="s">
        <v>175</v>
      </c>
      <c r="E84" s="100">
        <v>399.68</v>
      </c>
      <c r="F84" s="99" t="s">
        <v>176</v>
      </c>
      <c r="G84" s="99"/>
      <c r="H84" s="99"/>
      <c r="I84" s="97">
        <v>46037</v>
      </c>
      <c r="J84" s="100">
        <f t="shared" si="2"/>
        <v>399.68</v>
      </c>
      <c r="K84" s="100">
        <v>399.68</v>
      </c>
      <c r="L84" s="43">
        <f t="shared" si="3"/>
        <v>0</v>
      </c>
      <c r="M84" s="25"/>
      <c r="N84" s="70" t="s">
        <v>56</v>
      </c>
    </row>
    <row r="85" spans="2:14">
      <c r="B85" s="72">
        <v>46038</v>
      </c>
      <c r="C85" s="73" t="s">
        <v>15</v>
      </c>
      <c r="D85" s="74" t="s">
        <v>177</v>
      </c>
      <c r="E85" s="75">
        <v>1029.79</v>
      </c>
      <c r="F85" s="74" t="s">
        <v>17</v>
      </c>
      <c r="G85" s="74" t="s">
        <v>21</v>
      </c>
      <c r="H85" s="124" t="s">
        <v>178</v>
      </c>
      <c r="I85" s="72">
        <v>46038</v>
      </c>
      <c r="J85" s="75">
        <f t="shared" si="2"/>
        <v>1029.79</v>
      </c>
      <c r="K85" s="75">
        <v>1029.79</v>
      </c>
      <c r="L85" s="43">
        <f t="shared" si="3"/>
        <v>0</v>
      </c>
      <c r="M85" s="25"/>
      <c r="N85" s="70" t="s">
        <v>33</v>
      </c>
    </row>
    <row r="86" spans="2:14">
      <c r="B86" s="72">
        <v>46038</v>
      </c>
      <c r="C86" s="73" t="s">
        <v>15</v>
      </c>
      <c r="D86" s="74" t="s">
        <v>179</v>
      </c>
      <c r="E86" s="75">
        <v>68.08</v>
      </c>
      <c r="F86" s="74" t="s">
        <v>17</v>
      </c>
      <c r="G86" s="74" t="s">
        <v>21</v>
      </c>
      <c r="H86" s="74" t="s">
        <v>178</v>
      </c>
      <c r="I86" s="72">
        <v>46038</v>
      </c>
      <c r="J86" s="75">
        <f t="shared" si="2"/>
        <v>68.08</v>
      </c>
      <c r="K86" s="75">
        <v>68.08</v>
      </c>
      <c r="L86" s="43">
        <f t="shared" si="3"/>
        <v>0</v>
      </c>
      <c r="M86" s="25"/>
      <c r="N86" s="70" t="s">
        <v>33</v>
      </c>
    </row>
    <row r="87" spans="2:14">
      <c r="B87" s="72">
        <v>46038</v>
      </c>
      <c r="C87" s="73" t="s">
        <v>15</v>
      </c>
      <c r="D87" s="74" t="s">
        <v>180</v>
      </c>
      <c r="E87" s="75">
        <v>451.56</v>
      </c>
      <c r="F87" s="74" t="s">
        <v>29</v>
      </c>
      <c r="G87" s="74"/>
      <c r="H87" s="74" t="s">
        <v>181</v>
      </c>
      <c r="I87" s="72">
        <v>46038</v>
      </c>
      <c r="J87" s="75">
        <f t="shared" si="2"/>
        <v>451.56</v>
      </c>
      <c r="K87" s="75">
        <v>451.56</v>
      </c>
      <c r="L87" s="43">
        <f t="shared" si="3"/>
        <v>0</v>
      </c>
      <c r="M87" s="25"/>
      <c r="N87" s="70" t="s">
        <v>33</v>
      </c>
    </row>
    <row r="88" spans="2:14">
      <c r="B88" s="19">
        <v>46038</v>
      </c>
      <c r="C88" s="20" t="s">
        <v>15</v>
      </c>
      <c r="D88" s="21" t="s">
        <v>182</v>
      </c>
      <c r="E88" s="22">
        <v>1318.98</v>
      </c>
      <c r="F88" s="21" t="s">
        <v>17</v>
      </c>
      <c r="G88" s="21" t="s">
        <v>21</v>
      </c>
      <c r="H88" s="21" t="s">
        <v>183</v>
      </c>
      <c r="I88" s="19">
        <v>46038</v>
      </c>
      <c r="J88" s="22">
        <f t="shared" si="2"/>
        <v>1318.98</v>
      </c>
      <c r="K88" s="22">
        <v>1318.98</v>
      </c>
      <c r="L88" s="43">
        <f t="shared" si="3"/>
        <v>0</v>
      </c>
      <c r="M88" s="25"/>
      <c r="N88" s="31"/>
    </row>
    <row r="89" spans="2:14">
      <c r="B89" s="19">
        <v>46038</v>
      </c>
      <c r="C89" s="20" t="s">
        <v>15</v>
      </c>
      <c r="D89" s="21" t="s">
        <v>184</v>
      </c>
      <c r="E89" s="22">
        <v>216.76</v>
      </c>
      <c r="F89" s="21" t="s">
        <v>17</v>
      </c>
      <c r="G89" s="21" t="s">
        <v>21</v>
      </c>
      <c r="H89" s="21" t="s">
        <v>185</v>
      </c>
      <c r="I89" s="19">
        <v>46038</v>
      </c>
      <c r="J89" s="22">
        <f t="shared" si="2"/>
        <v>216.76</v>
      </c>
      <c r="K89" s="22">
        <v>216.76</v>
      </c>
      <c r="L89" s="43">
        <f t="shared" si="3"/>
        <v>0</v>
      </c>
      <c r="M89" s="25"/>
      <c r="N89" s="31"/>
    </row>
    <row r="90" spans="2:14">
      <c r="B90" s="19">
        <v>46038</v>
      </c>
      <c r="C90" s="20" t="s">
        <v>15</v>
      </c>
      <c r="D90" s="21" t="s">
        <v>186</v>
      </c>
      <c r="E90" s="22">
        <v>739.15</v>
      </c>
      <c r="F90" s="21" t="s">
        <v>29</v>
      </c>
      <c r="G90" s="21"/>
      <c r="H90" s="21" t="s">
        <v>187</v>
      </c>
      <c r="I90" s="19">
        <v>46038</v>
      </c>
      <c r="J90" s="22">
        <f t="shared" si="2"/>
        <v>739.15</v>
      </c>
      <c r="K90" s="22">
        <v>739.15</v>
      </c>
      <c r="L90" s="43">
        <f t="shared" si="3"/>
        <v>0</v>
      </c>
      <c r="M90" s="25"/>
      <c r="N90" s="31"/>
    </row>
    <row r="91" spans="2:14">
      <c r="B91" s="72">
        <v>46038</v>
      </c>
      <c r="C91" s="73" t="s">
        <v>15</v>
      </c>
      <c r="D91" s="74" t="s">
        <v>188</v>
      </c>
      <c r="E91" s="75">
        <v>372.04</v>
      </c>
      <c r="F91" s="74" t="s">
        <v>17</v>
      </c>
      <c r="G91" s="74" t="s">
        <v>79</v>
      </c>
      <c r="H91" s="74" t="s">
        <v>189</v>
      </c>
      <c r="I91" s="72">
        <v>46038</v>
      </c>
      <c r="J91" s="75">
        <f t="shared" si="2"/>
        <v>372.04</v>
      </c>
      <c r="K91" s="75">
        <v>372.04</v>
      </c>
      <c r="L91" s="43">
        <f t="shared" si="3"/>
        <v>0</v>
      </c>
      <c r="M91" s="25"/>
      <c r="N91" s="70" t="s">
        <v>190</v>
      </c>
    </row>
    <row r="92" spans="2:14">
      <c r="B92" s="19">
        <v>46038</v>
      </c>
      <c r="C92" s="20" t="s">
        <v>15</v>
      </c>
      <c r="D92" s="21" t="s">
        <v>191</v>
      </c>
      <c r="E92" s="22">
        <v>924.38</v>
      </c>
      <c r="F92" s="21" t="s">
        <v>17</v>
      </c>
      <c r="G92" s="21" t="s">
        <v>21</v>
      </c>
      <c r="H92" s="21" t="s">
        <v>192</v>
      </c>
      <c r="I92" s="19">
        <v>46038</v>
      </c>
      <c r="J92" s="22">
        <f t="shared" si="2"/>
        <v>924.38</v>
      </c>
      <c r="K92" s="22">
        <v>924.38</v>
      </c>
      <c r="L92" s="43">
        <f t="shared" si="3"/>
        <v>0</v>
      </c>
      <c r="M92" s="25"/>
      <c r="N92" s="31"/>
    </row>
    <row r="93" spans="2:14">
      <c r="B93" s="19">
        <v>46038</v>
      </c>
      <c r="C93" s="20" t="s">
        <v>15</v>
      </c>
      <c r="D93" s="21" t="s">
        <v>193</v>
      </c>
      <c r="E93" s="22">
        <v>35.91</v>
      </c>
      <c r="F93" s="21" t="s">
        <v>29</v>
      </c>
      <c r="G93" s="21"/>
      <c r="H93" s="21" t="s">
        <v>194</v>
      </c>
      <c r="I93" s="19">
        <v>46038</v>
      </c>
      <c r="J93" s="22">
        <f t="shared" si="2"/>
        <v>35.91</v>
      </c>
      <c r="K93" s="22">
        <v>35.91</v>
      </c>
      <c r="L93" s="43">
        <f t="shared" si="3"/>
        <v>0</v>
      </c>
      <c r="M93" s="25"/>
      <c r="N93" s="31"/>
    </row>
    <row r="94" spans="2:14">
      <c r="B94" s="19">
        <v>46038</v>
      </c>
      <c r="C94" s="20" t="s">
        <v>15</v>
      </c>
      <c r="D94" s="21" t="s">
        <v>195</v>
      </c>
      <c r="E94" s="22">
        <v>400.71</v>
      </c>
      <c r="F94" s="21" t="s">
        <v>17</v>
      </c>
      <c r="G94" s="21" t="s">
        <v>21</v>
      </c>
      <c r="H94" s="21" t="s">
        <v>196</v>
      </c>
      <c r="I94" s="19">
        <v>46038</v>
      </c>
      <c r="J94" s="22">
        <f t="shared" si="2"/>
        <v>400.71</v>
      </c>
      <c r="K94" s="22">
        <v>400.71</v>
      </c>
      <c r="L94" s="43">
        <f t="shared" si="3"/>
        <v>0</v>
      </c>
      <c r="M94" s="25"/>
      <c r="N94" s="31"/>
    </row>
    <row r="95" spans="2:14">
      <c r="B95" s="97">
        <v>46038</v>
      </c>
      <c r="C95" s="98" t="s">
        <v>15</v>
      </c>
      <c r="D95" s="99" t="s">
        <v>197</v>
      </c>
      <c r="E95" s="100">
        <v>2252.49</v>
      </c>
      <c r="F95" s="99" t="s">
        <v>17</v>
      </c>
      <c r="G95" s="99" t="s">
        <v>18</v>
      </c>
      <c r="H95" s="99" t="s">
        <v>198</v>
      </c>
      <c r="I95" s="97">
        <v>46037</v>
      </c>
      <c r="J95" s="100">
        <f t="shared" si="2"/>
        <v>2252.49</v>
      </c>
      <c r="K95" s="100">
        <v>2252.49</v>
      </c>
      <c r="L95" s="43">
        <f t="shared" si="3"/>
        <v>0</v>
      </c>
      <c r="M95" s="25"/>
      <c r="N95" s="70" t="s">
        <v>56</v>
      </c>
    </row>
    <row r="96" spans="2:14">
      <c r="B96" s="19">
        <v>46038</v>
      </c>
      <c r="C96" s="20" t="s">
        <v>15</v>
      </c>
      <c r="D96" s="21" t="s">
        <v>199</v>
      </c>
      <c r="E96" s="22">
        <v>235.29</v>
      </c>
      <c r="F96" s="21" t="s">
        <v>29</v>
      </c>
      <c r="G96" s="21"/>
      <c r="H96" s="21" t="s">
        <v>200</v>
      </c>
      <c r="I96" s="19">
        <v>46038</v>
      </c>
      <c r="J96" s="22">
        <f t="shared" si="2"/>
        <v>235.29</v>
      </c>
      <c r="K96" s="22">
        <v>235.29</v>
      </c>
      <c r="L96" s="43">
        <f t="shared" si="3"/>
        <v>0</v>
      </c>
      <c r="M96" s="25"/>
      <c r="N96" s="31"/>
    </row>
    <row r="97" spans="2:14">
      <c r="B97" s="19">
        <v>46039</v>
      </c>
      <c r="C97" s="20" t="s">
        <v>15</v>
      </c>
      <c r="D97" s="21" t="s">
        <v>201</v>
      </c>
      <c r="E97" s="22">
        <v>1123.38</v>
      </c>
      <c r="F97" s="21" t="s">
        <v>17</v>
      </c>
      <c r="G97" s="21" t="s">
        <v>21</v>
      </c>
      <c r="H97" s="21" t="s">
        <v>202</v>
      </c>
      <c r="I97" s="19">
        <v>46039</v>
      </c>
      <c r="J97" s="22">
        <f t="shared" si="2"/>
        <v>1123.38</v>
      </c>
      <c r="K97" s="22">
        <v>1123.38</v>
      </c>
      <c r="L97" s="43">
        <f t="shared" si="3"/>
        <v>0</v>
      </c>
      <c r="M97" s="25"/>
      <c r="N97" s="31"/>
    </row>
    <row r="98" spans="2:14">
      <c r="B98" s="19">
        <v>46041</v>
      </c>
      <c r="C98" s="20" t="s">
        <v>15</v>
      </c>
      <c r="D98" s="21" t="s">
        <v>203</v>
      </c>
      <c r="E98" s="22">
        <v>214.06</v>
      </c>
      <c r="F98" s="21" t="s">
        <v>29</v>
      </c>
      <c r="G98" s="21"/>
      <c r="H98" s="21" t="s">
        <v>204</v>
      </c>
      <c r="I98" s="19">
        <v>46041</v>
      </c>
      <c r="J98" s="22">
        <f t="shared" si="2"/>
        <v>214.06</v>
      </c>
      <c r="K98" s="22">
        <v>214.06</v>
      </c>
      <c r="L98" s="43">
        <f t="shared" si="3"/>
        <v>0</v>
      </c>
      <c r="M98" s="25"/>
      <c r="N98" s="31"/>
    </row>
    <row r="99" spans="2:14">
      <c r="B99" s="19">
        <v>46041</v>
      </c>
      <c r="C99" s="20" t="s">
        <v>15</v>
      </c>
      <c r="D99" s="21" t="s">
        <v>205</v>
      </c>
      <c r="E99" s="22">
        <v>826.58</v>
      </c>
      <c r="F99" s="21" t="s">
        <v>17</v>
      </c>
      <c r="G99" s="21" t="s">
        <v>21</v>
      </c>
      <c r="H99" s="21" t="s">
        <v>206</v>
      </c>
      <c r="I99" s="19">
        <v>46041</v>
      </c>
      <c r="J99" s="22">
        <f t="shared" si="2"/>
        <v>826.58</v>
      </c>
      <c r="K99" s="22">
        <v>826.58</v>
      </c>
      <c r="L99" s="43">
        <f t="shared" si="3"/>
        <v>0</v>
      </c>
      <c r="M99" s="25"/>
      <c r="N99" s="31"/>
    </row>
    <row r="100" spans="2:14">
      <c r="B100" s="19">
        <v>46041</v>
      </c>
      <c r="C100" s="20" t="s">
        <v>15</v>
      </c>
      <c r="D100" s="21" t="s">
        <v>207</v>
      </c>
      <c r="E100" s="22">
        <v>823.56</v>
      </c>
      <c r="F100" s="21" t="s">
        <v>17</v>
      </c>
      <c r="G100" s="21" t="s">
        <v>18</v>
      </c>
      <c r="H100" s="21" t="s">
        <v>208</v>
      </c>
      <c r="I100" s="19">
        <v>46041</v>
      </c>
      <c r="J100" s="22">
        <f t="shared" si="2"/>
        <v>823.56</v>
      </c>
      <c r="K100" s="22">
        <v>823.56</v>
      </c>
      <c r="L100" s="43">
        <f t="shared" si="3"/>
        <v>0</v>
      </c>
      <c r="M100" s="25"/>
      <c r="N100" s="70" t="s">
        <v>60</v>
      </c>
    </row>
    <row r="101" spans="2:14">
      <c r="B101" s="19">
        <v>46041</v>
      </c>
      <c r="C101" s="20" t="s">
        <v>15</v>
      </c>
      <c r="D101" s="21" t="s">
        <v>209</v>
      </c>
      <c r="E101" s="22">
        <v>937.96</v>
      </c>
      <c r="F101" s="21" t="s">
        <v>17</v>
      </c>
      <c r="G101" s="21" t="s">
        <v>21</v>
      </c>
      <c r="H101" s="21" t="s">
        <v>210</v>
      </c>
      <c r="I101" s="19">
        <v>46041</v>
      </c>
      <c r="J101" s="22">
        <f t="shared" si="2"/>
        <v>937.96</v>
      </c>
      <c r="K101" s="22">
        <v>937.96</v>
      </c>
      <c r="L101" s="43">
        <f t="shared" si="3"/>
        <v>0</v>
      </c>
      <c r="M101" s="25"/>
      <c r="N101" s="70" t="s">
        <v>211</v>
      </c>
    </row>
    <row r="102" spans="2:14">
      <c r="B102" s="19">
        <v>46041</v>
      </c>
      <c r="C102" s="20" t="s">
        <v>15</v>
      </c>
      <c r="D102" s="21" t="s">
        <v>212</v>
      </c>
      <c r="E102" s="22">
        <v>174.44</v>
      </c>
      <c r="F102" s="21" t="s">
        <v>17</v>
      </c>
      <c r="G102" s="21" t="s">
        <v>21</v>
      </c>
      <c r="H102" s="68" t="s">
        <v>213</v>
      </c>
      <c r="I102" s="19">
        <v>46041</v>
      </c>
      <c r="J102" s="22">
        <f t="shared" si="2"/>
        <v>174.44</v>
      </c>
      <c r="K102" s="22">
        <v>174.44</v>
      </c>
      <c r="L102" s="43">
        <f t="shared" si="3"/>
        <v>0</v>
      </c>
      <c r="M102" s="25"/>
      <c r="N102" s="70" t="s">
        <v>33</v>
      </c>
    </row>
    <row r="103" spans="2:14">
      <c r="B103" s="19">
        <v>46042</v>
      </c>
      <c r="C103" s="20" t="s">
        <v>15</v>
      </c>
      <c r="D103" s="21" t="s">
        <v>214</v>
      </c>
      <c r="E103" s="22">
        <v>176.35</v>
      </c>
      <c r="F103" s="21" t="s">
        <v>17</v>
      </c>
      <c r="G103" s="21" t="s">
        <v>21</v>
      </c>
      <c r="H103" s="68" t="s">
        <v>215</v>
      </c>
      <c r="I103" s="19">
        <v>46042</v>
      </c>
      <c r="J103" s="22">
        <f t="shared" si="2"/>
        <v>176.35</v>
      </c>
      <c r="K103" s="22">
        <v>176.35</v>
      </c>
      <c r="L103" s="43">
        <f t="shared" si="3"/>
        <v>0</v>
      </c>
      <c r="M103" s="25"/>
      <c r="N103" s="70" t="s">
        <v>39</v>
      </c>
    </row>
    <row r="104" spans="2:14">
      <c r="B104" s="125">
        <v>46042</v>
      </c>
      <c r="C104" s="126" t="s">
        <v>15</v>
      </c>
      <c r="D104" s="127" t="s">
        <v>216</v>
      </c>
      <c r="E104" s="128" t="s">
        <v>217</v>
      </c>
      <c r="F104" s="127"/>
      <c r="G104" s="127"/>
      <c r="H104" s="127"/>
      <c r="I104" s="125"/>
      <c r="J104" s="128"/>
      <c r="K104" s="128"/>
      <c r="L104" s="43">
        <f t="shared" si="3"/>
        <v>0</v>
      </c>
      <c r="M104" s="25"/>
      <c r="N104" s="31"/>
    </row>
    <row r="105" spans="2:14">
      <c r="B105" s="19">
        <v>46042</v>
      </c>
      <c r="C105" s="20" t="s">
        <v>15</v>
      </c>
      <c r="D105" s="21" t="s">
        <v>218</v>
      </c>
      <c r="E105" s="22">
        <v>228.95</v>
      </c>
      <c r="F105" s="21" t="s">
        <v>17</v>
      </c>
      <c r="G105" s="21" t="s">
        <v>18</v>
      </c>
      <c r="H105" s="21" t="s">
        <v>219</v>
      </c>
      <c r="I105" s="19">
        <v>46042</v>
      </c>
      <c r="J105" s="22">
        <v>228.95</v>
      </c>
      <c r="K105" s="22">
        <v>228.95</v>
      </c>
      <c r="L105" s="43">
        <f t="shared" si="3"/>
        <v>0</v>
      </c>
      <c r="M105" s="25"/>
      <c r="N105" s="31"/>
    </row>
    <row r="106" spans="2:14">
      <c r="B106" s="19">
        <v>46042</v>
      </c>
      <c r="C106" s="20" t="s">
        <v>15</v>
      </c>
      <c r="D106" s="21" t="s">
        <v>220</v>
      </c>
      <c r="E106" s="22">
        <v>654.16</v>
      </c>
      <c r="F106" s="21" t="s">
        <v>17</v>
      </c>
      <c r="G106" s="21" t="s">
        <v>21</v>
      </c>
      <c r="H106" s="21" t="s">
        <v>221</v>
      </c>
      <c r="I106" s="19">
        <v>46042</v>
      </c>
      <c r="J106" s="22">
        <v>654.16</v>
      </c>
      <c r="K106" s="22">
        <v>654.16</v>
      </c>
      <c r="L106" s="43">
        <f t="shared" si="3"/>
        <v>0</v>
      </c>
      <c r="M106" s="25"/>
      <c r="N106" s="70" t="s">
        <v>23</v>
      </c>
    </row>
    <row r="107" spans="2:14">
      <c r="B107" s="19">
        <v>46042</v>
      </c>
      <c r="C107" s="20" t="s">
        <v>15</v>
      </c>
      <c r="D107" s="21" t="s">
        <v>222</v>
      </c>
      <c r="E107" s="22">
        <v>228.87</v>
      </c>
      <c r="F107" s="21" t="s">
        <v>29</v>
      </c>
      <c r="G107" s="21"/>
      <c r="H107" s="21" t="s">
        <v>223</v>
      </c>
      <c r="I107" s="19">
        <v>46042</v>
      </c>
      <c r="J107" s="22">
        <f t="shared" si="2"/>
        <v>228.87</v>
      </c>
      <c r="K107" s="22">
        <v>228.87</v>
      </c>
      <c r="L107" s="43">
        <f t="shared" si="3"/>
        <v>0</v>
      </c>
      <c r="M107" s="25"/>
      <c r="N107" s="70" t="s">
        <v>224</v>
      </c>
    </row>
    <row r="108" spans="2:14">
      <c r="B108" s="19">
        <v>46042</v>
      </c>
      <c r="C108" s="20" t="s">
        <v>15</v>
      </c>
      <c r="D108" s="21" t="s">
        <v>225</v>
      </c>
      <c r="E108" s="22">
        <v>202.99</v>
      </c>
      <c r="F108" s="21" t="s">
        <v>17</v>
      </c>
      <c r="G108" s="21" t="s">
        <v>21</v>
      </c>
      <c r="H108" s="21" t="s">
        <v>226</v>
      </c>
      <c r="I108" s="19">
        <v>46042</v>
      </c>
      <c r="J108" s="22">
        <f t="shared" si="2"/>
        <v>202.99</v>
      </c>
      <c r="K108" s="22">
        <v>202.99</v>
      </c>
      <c r="L108" s="43">
        <f t="shared" si="3"/>
        <v>0</v>
      </c>
      <c r="M108" s="25"/>
      <c r="N108" s="31"/>
    </row>
    <row r="109" spans="2:14">
      <c r="B109" s="129">
        <v>46042</v>
      </c>
      <c r="C109" s="130" t="s">
        <v>15</v>
      </c>
      <c r="D109" s="131" t="s">
        <v>227</v>
      </c>
      <c r="E109" s="132">
        <v>290.57</v>
      </c>
      <c r="F109" s="131" t="s">
        <v>228</v>
      </c>
      <c r="G109" s="131"/>
      <c r="H109" s="131"/>
      <c r="I109" s="129">
        <v>46042</v>
      </c>
      <c r="J109" s="132">
        <f t="shared" si="2"/>
        <v>290.57</v>
      </c>
      <c r="K109" s="132">
        <v>290.57</v>
      </c>
      <c r="L109" s="43">
        <f t="shared" si="3"/>
        <v>0</v>
      </c>
      <c r="M109" s="25"/>
      <c r="N109" s="70" t="s">
        <v>56</v>
      </c>
    </row>
    <row r="110" spans="2:14">
      <c r="B110" s="19">
        <v>46042</v>
      </c>
      <c r="C110" s="20" t="s">
        <v>15</v>
      </c>
      <c r="D110" s="21" t="s">
        <v>229</v>
      </c>
      <c r="E110" s="22">
        <v>7763.74</v>
      </c>
      <c r="F110" s="21" t="s">
        <v>17</v>
      </c>
      <c r="G110" s="21" t="s">
        <v>21</v>
      </c>
      <c r="H110" s="21" t="s">
        <v>230</v>
      </c>
      <c r="I110" s="19">
        <v>46042</v>
      </c>
      <c r="J110" s="22">
        <f t="shared" si="2"/>
        <v>7763.74</v>
      </c>
      <c r="K110" s="22">
        <v>7763.74</v>
      </c>
      <c r="L110" s="43">
        <f t="shared" si="3"/>
        <v>0</v>
      </c>
      <c r="M110" s="25"/>
      <c r="N110" s="70" t="s">
        <v>39</v>
      </c>
    </row>
    <row r="111" spans="2:14">
      <c r="B111" s="19">
        <v>46042</v>
      </c>
      <c r="C111" s="20" t="s">
        <v>15</v>
      </c>
      <c r="D111" s="21" t="s">
        <v>231</v>
      </c>
      <c r="E111" s="22">
        <v>207.4</v>
      </c>
      <c r="F111" s="21" t="s">
        <v>17</v>
      </c>
      <c r="G111" s="21" t="s">
        <v>21</v>
      </c>
      <c r="H111" s="21" t="s">
        <v>232</v>
      </c>
      <c r="I111" s="19">
        <v>46042</v>
      </c>
      <c r="J111" s="22">
        <f t="shared" si="2"/>
        <v>207.4</v>
      </c>
      <c r="K111" s="22">
        <v>207.4</v>
      </c>
      <c r="L111" s="43">
        <f t="shared" si="3"/>
        <v>0</v>
      </c>
      <c r="M111" s="25"/>
      <c r="N111" s="70" t="s">
        <v>63</v>
      </c>
    </row>
    <row r="112" spans="2:14">
      <c r="B112" s="19">
        <v>46043</v>
      </c>
      <c r="C112" s="20" t="s">
        <v>15</v>
      </c>
      <c r="D112" s="21" t="s">
        <v>233</v>
      </c>
      <c r="E112" s="22">
        <v>441.74</v>
      </c>
      <c r="F112" s="21" t="s">
        <v>29</v>
      </c>
      <c r="G112" s="21"/>
      <c r="H112" s="21" t="s">
        <v>234</v>
      </c>
      <c r="I112" s="19">
        <v>46043</v>
      </c>
      <c r="J112" s="22">
        <f t="shared" si="2"/>
        <v>441.74</v>
      </c>
      <c r="K112" s="22">
        <v>441.74</v>
      </c>
      <c r="L112" s="43">
        <f t="shared" si="3"/>
        <v>0</v>
      </c>
      <c r="M112" s="25"/>
      <c r="N112" s="70" t="s">
        <v>39</v>
      </c>
    </row>
    <row r="113" spans="2:14">
      <c r="B113" s="19">
        <v>46043</v>
      </c>
      <c r="C113" s="20" t="s">
        <v>15</v>
      </c>
      <c r="D113" s="21" t="s">
        <v>235</v>
      </c>
      <c r="E113" s="22">
        <v>93.5</v>
      </c>
      <c r="F113" s="21" t="s">
        <v>17</v>
      </c>
      <c r="G113" s="21" t="s">
        <v>21</v>
      </c>
      <c r="H113" s="21" t="s">
        <v>236</v>
      </c>
      <c r="I113" s="19">
        <v>46043</v>
      </c>
      <c r="J113" s="22">
        <f t="shared" si="2"/>
        <v>93.5</v>
      </c>
      <c r="K113" s="22">
        <v>93.5</v>
      </c>
      <c r="L113" s="43">
        <f t="shared" si="3"/>
        <v>0</v>
      </c>
      <c r="M113" s="25"/>
      <c r="N113" s="70" t="s">
        <v>60</v>
      </c>
    </row>
    <row r="114" spans="2:14">
      <c r="B114" s="19">
        <v>46043</v>
      </c>
      <c r="C114" s="20" t="s">
        <v>15</v>
      </c>
      <c r="D114" s="21" t="s">
        <v>237</v>
      </c>
      <c r="E114" s="22">
        <v>341.9</v>
      </c>
      <c r="F114" s="21" t="s">
        <v>17</v>
      </c>
      <c r="G114" s="21" t="s">
        <v>18</v>
      </c>
      <c r="H114" s="21" t="s">
        <v>238</v>
      </c>
      <c r="I114" s="19">
        <v>46043</v>
      </c>
      <c r="J114" s="22">
        <f t="shared" si="2"/>
        <v>341.9</v>
      </c>
      <c r="K114" s="22">
        <v>341.9</v>
      </c>
      <c r="L114" s="43">
        <f t="shared" si="3"/>
        <v>0</v>
      </c>
      <c r="M114" s="25"/>
      <c r="N114" s="31"/>
    </row>
    <row r="115" spans="2:14">
      <c r="B115" s="19">
        <v>46043</v>
      </c>
      <c r="C115" s="20" t="s">
        <v>15</v>
      </c>
      <c r="D115" s="21" t="s">
        <v>239</v>
      </c>
      <c r="E115" s="22">
        <v>564.33</v>
      </c>
      <c r="F115" s="21" t="s">
        <v>17</v>
      </c>
      <c r="G115" s="21" t="s">
        <v>18</v>
      </c>
      <c r="H115" s="21" t="s">
        <v>240</v>
      </c>
      <c r="I115" s="19">
        <v>46043</v>
      </c>
      <c r="J115" s="22">
        <f t="shared" si="2"/>
        <v>564.33</v>
      </c>
      <c r="K115" s="22">
        <v>564.33</v>
      </c>
      <c r="L115" s="43">
        <f t="shared" si="3"/>
        <v>0</v>
      </c>
      <c r="M115" s="25"/>
      <c r="N115" s="31"/>
    </row>
    <row r="116" spans="2:14">
      <c r="B116" s="19">
        <v>46043</v>
      </c>
      <c r="C116" s="20" t="s">
        <v>64</v>
      </c>
      <c r="D116" s="21" t="s">
        <v>241</v>
      </c>
      <c r="E116" s="22">
        <v>146.28</v>
      </c>
      <c r="F116" s="21" t="s">
        <v>17</v>
      </c>
      <c r="G116" s="21" t="s">
        <v>21</v>
      </c>
      <c r="H116" s="21" t="s">
        <v>242</v>
      </c>
      <c r="I116" s="19">
        <v>46043</v>
      </c>
      <c r="J116" s="22">
        <f t="shared" si="2"/>
        <v>146.28</v>
      </c>
      <c r="K116" s="22">
        <v>146.28</v>
      </c>
      <c r="L116" s="43">
        <f t="shared" si="3"/>
        <v>0</v>
      </c>
      <c r="M116" s="25"/>
      <c r="N116" s="31"/>
    </row>
    <row r="117" spans="2:14">
      <c r="B117" s="19">
        <v>46043</v>
      </c>
      <c r="C117" s="20" t="s">
        <v>15</v>
      </c>
      <c r="D117" s="21" t="s">
        <v>243</v>
      </c>
      <c r="E117" s="22">
        <v>876.55</v>
      </c>
      <c r="F117" s="21" t="s">
        <v>17</v>
      </c>
      <c r="G117" s="21" t="s">
        <v>18</v>
      </c>
      <c r="H117" s="21" t="s">
        <v>244</v>
      </c>
      <c r="I117" s="19">
        <v>46043</v>
      </c>
      <c r="J117" s="22">
        <f t="shared" si="2"/>
        <v>876.55</v>
      </c>
      <c r="K117" s="22">
        <v>876.55</v>
      </c>
      <c r="L117" s="43">
        <f t="shared" si="3"/>
        <v>0</v>
      </c>
      <c r="M117" s="25"/>
      <c r="N117" s="31"/>
    </row>
    <row r="118" spans="2:14">
      <c r="B118" s="129">
        <v>46043</v>
      </c>
      <c r="C118" s="130" t="s">
        <v>15</v>
      </c>
      <c r="D118" s="131" t="s">
        <v>245</v>
      </c>
      <c r="E118" s="132">
        <v>6798.29</v>
      </c>
      <c r="F118" s="131" t="s">
        <v>17</v>
      </c>
      <c r="G118" s="131" t="s">
        <v>18</v>
      </c>
      <c r="H118" s="131" t="s">
        <v>246</v>
      </c>
      <c r="I118" s="129">
        <v>46043</v>
      </c>
      <c r="J118" s="132">
        <f t="shared" si="2"/>
        <v>6798.29</v>
      </c>
      <c r="K118" s="132">
        <v>6798.3</v>
      </c>
      <c r="L118" s="43">
        <f t="shared" si="3"/>
        <v>-0.0100000000002183</v>
      </c>
      <c r="M118" s="25"/>
      <c r="N118" s="70" t="s">
        <v>56</v>
      </c>
    </row>
    <row r="119" spans="2:14">
      <c r="B119" s="19">
        <v>46043</v>
      </c>
      <c r="C119" s="20" t="s">
        <v>15</v>
      </c>
      <c r="D119" s="21" t="s">
        <v>247</v>
      </c>
      <c r="E119" s="22">
        <v>762.27</v>
      </c>
      <c r="F119" s="21" t="s">
        <v>17</v>
      </c>
      <c r="G119" s="21" t="s">
        <v>21</v>
      </c>
      <c r="H119" s="21" t="s">
        <v>248</v>
      </c>
      <c r="I119" s="19">
        <v>46043</v>
      </c>
      <c r="J119" s="22">
        <f t="shared" si="2"/>
        <v>762.27</v>
      </c>
      <c r="K119" s="22">
        <v>762.28</v>
      </c>
      <c r="L119" s="43">
        <f t="shared" si="3"/>
        <v>-0.00999999999999091</v>
      </c>
      <c r="M119" s="25"/>
      <c r="N119" s="31"/>
    </row>
    <row r="120" spans="2:14">
      <c r="B120" s="19">
        <v>46043</v>
      </c>
      <c r="C120" s="20" t="s">
        <v>15</v>
      </c>
      <c r="D120" s="21" t="s">
        <v>249</v>
      </c>
      <c r="E120" s="22">
        <v>103.4</v>
      </c>
      <c r="F120" s="21" t="s">
        <v>17</v>
      </c>
      <c r="G120" s="21" t="s">
        <v>21</v>
      </c>
      <c r="H120" s="21" t="s">
        <v>250</v>
      </c>
      <c r="I120" s="19">
        <v>46043</v>
      </c>
      <c r="J120" s="22">
        <f t="shared" si="2"/>
        <v>103.4</v>
      </c>
      <c r="K120" s="22">
        <v>103.4</v>
      </c>
      <c r="L120" s="43">
        <f t="shared" si="3"/>
        <v>0</v>
      </c>
      <c r="M120" s="25"/>
      <c r="N120" s="70" t="s">
        <v>63</v>
      </c>
    </row>
    <row r="121" spans="2:14">
      <c r="B121" s="19">
        <v>46044</v>
      </c>
      <c r="C121" s="20" t="s">
        <v>15</v>
      </c>
      <c r="D121" s="21" t="s">
        <v>251</v>
      </c>
      <c r="E121" s="22">
        <v>229.25</v>
      </c>
      <c r="F121" s="21" t="s">
        <v>29</v>
      </c>
      <c r="G121" s="21"/>
      <c r="H121" s="21" t="s">
        <v>252</v>
      </c>
      <c r="I121" s="19">
        <v>46044</v>
      </c>
      <c r="J121" s="22">
        <f t="shared" si="2"/>
        <v>229.25</v>
      </c>
      <c r="K121" s="22">
        <v>229.25</v>
      </c>
      <c r="L121" s="43">
        <f t="shared" si="3"/>
        <v>0</v>
      </c>
      <c r="M121" s="25"/>
      <c r="N121" s="31"/>
    </row>
    <row r="122" spans="2:14">
      <c r="B122" s="19">
        <v>46044</v>
      </c>
      <c r="C122" s="20" t="s">
        <v>15</v>
      </c>
      <c r="D122" s="21" t="s">
        <v>253</v>
      </c>
      <c r="E122" s="22">
        <v>375.72</v>
      </c>
      <c r="F122" s="21" t="s">
        <v>17</v>
      </c>
      <c r="G122" s="21" t="s">
        <v>21</v>
      </c>
      <c r="H122" s="21" t="s">
        <v>254</v>
      </c>
      <c r="I122" s="19">
        <v>46044</v>
      </c>
      <c r="J122" s="22">
        <f t="shared" si="2"/>
        <v>375.72</v>
      </c>
      <c r="K122" s="22">
        <v>375.72</v>
      </c>
      <c r="L122" s="43">
        <f t="shared" si="3"/>
        <v>0</v>
      </c>
      <c r="M122" s="25"/>
      <c r="N122" s="31"/>
    </row>
    <row r="123" spans="2:14">
      <c r="B123" s="19">
        <v>46044</v>
      </c>
      <c r="C123" s="20" t="s">
        <v>15</v>
      </c>
      <c r="D123" s="21" t="s">
        <v>255</v>
      </c>
      <c r="E123" s="22">
        <v>1026.87</v>
      </c>
      <c r="F123" s="21" t="s">
        <v>17</v>
      </c>
      <c r="G123" s="21" t="s">
        <v>18</v>
      </c>
      <c r="H123" s="21" t="s">
        <v>256</v>
      </c>
      <c r="I123" s="19">
        <v>46044</v>
      </c>
      <c r="J123" s="22">
        <f t="shared" si="2"/>
        <v>1026.87</v>
      </c>
      <c r="K123" s="22">
        <v>1026.87</v>
      </c>
      <c r="L123" s="43">
        <f t="shared" si="3"/>
        <v>0</v>
      </c>
      <c r="M123" s="25"/>
      <c r="N123" s="70" t="s">
        <v>23</v>
      </c>
    </row>
    <row r="124" spans="2:14">
      <c r="B124" s="19">
        <v>46045</v>
      </c>
      <c r="C124" s="20" t="s">
        <v>15</v>
      </c>
      <c r="D124" s="21" t="s">
        <v>257</v>
      </c>
      <c r="E124" s="22">
        <v>185.34</v>
      </c>
      <c r="F124" s="21" t="s">
        <v>17</v>
      </c>
      <c r="G124" s="21" t="s">
        <v>21</v>
      </c>
      <c r="H124" s="21" t="s">
        <v>258</v>
      </c>
      <c r="I124" s="19">
        <v>46044</v>
      </c>
      <c r="J124" s="22">
        <f t="shared" si="2"/>
        <v>185.34</v>
      </c>
      <c r="K124" s="22">
        <v>185.34</v>
      </c>
      <c r="L124" s="43">
        <f t="shared" si="3"/>
        <v>0</v>
      </c>
      <c r="M124" s="25"/>
      <c r="N124" s="31"/>
    </row>
    <row r="125" spans="2:14">
      <c r="B125" s="19">
        <v>46045</v>
      </c>
      <c r="C125" s="20" t="s">
        <v>15</v>
      </c>
      <c r="D125" s="21" t="s">
        <v>259</v>
      </c>
      <c r="E125" s="22">
        <v>562.26</v>
      </c>
      <c r="F125" s="21" t="s">
        <v>17</v>
      </c>
      <c r="G125" s="21" t="s">
        <v>18</v>
      </c>
      <c r="H125" s="21" t="s">
        <v>260</v>
      </c>
      <c r="I125" s="19">
        <v>46044</v>
      </c>
      <c r="J125" s="22">
        <f t="shared" si="2"/>
        <v>562.26</v>
      </c>
      <c r="K125" s="22">
        <v>562.26</v>
      </c>
      <c r="L125" s="43">
        <f t="shared" si="3"/>
        <v>0</v>
      </c>
      <c r="M125" s="25"/>
      <c r="N125" s="70" t="s">
        <v>23</v>
      </c>
    </row>
    <row r="126" spans="2:14">
      <c r="B126" s="19">
        <v>46045</v>
      </c>
      <c r="C126" s="20" t="s">
        <v>15</v>
      </c>
      <c r="D126" s="21" t="s">
        <v>261</v>
      </c>
      <c r="E126" s="22">
        <v>56.35</v>
      </c>
      <c r="F126" s="21" t="s">
        <v>29</v>
      </c>
      <c r="G126" s="21"/>
      <c r="H126" s="21" t="s">
        <v>262</v>
      </c>
      <c r="I126" s="19">
        <v>46045</v>
      </c>
      <c r="J126" s="22">
        <f t="shared" si="2"/>
        <v>56.35</v>
      </c>
      <c r="K126" s="22">
        <v>56.35</v>
      </c>
      <c r="L126" s="43">
        <f t="shared" si="3"/>
        <v>0</v>
      </c>
      <c r="M126" s="25"/>
      <c r="N126" s="31"/>
    </row>
    <row r="127" spans="2:14">
      <c r="B127" s="19">
        <v>46045</v>
      </c>
      <c r="C127" s="20" t="s">
        <v>15</v>
      </c>
      <c r="D127" s="21" t="s">
        <v>263</v>
      </c>
      <c r="E127" s="22">
        <v>198.57</v>
      </c>
      <c r="F127" s="21" t="s">
        <v>17</v>
      </c>
      <c r="G127" s="21" t="s">
        <v>21</v>
      </c>
      <c r="H127" s="21" t="s">
        <v>264</v>
      </c>
      <c r="I127" s="19">
        <v>46045</v>
      </c>
      <c r="J127" s="22">
        <f t="shared" si="2"/>
        <v>198.57</v>
      </c>
      <c r="K127" s="22">
        <v>198.57</v>
      </c>
      <c r="L127" s="43">
        <f t="shared" si="3"/>
        <v>0</v>
      </c>
      <c r="M127" s="25"/>
      <c r="N127" s="70" t="s">
        <v>63</v>
      </c>
    </row>
    <row r="128" spans="2:14">
      <c r="B128" s="19">
        <v>46045</v>
      </c>
      <c r="C128" s="20" t="s">
        <v>15</v>
      </c>
      <c r="D128" s="21" t="s">
        <v>265</v>
      </c>
      <c r="E128" s="22">
        <v>1721.16</v>
      </c>
      <c r="F128" s="21" t="s">
        <v>17</v>
      </c>
      <c r="G128" s="21" t="s">
        <v>18</v>
      </c>
      <c r="H128" s="21" t="s">
        <v>266</v>
      </c>
      <c r="I128" s="19">
        <v>46045</v>
      </c>
      <c r="J128" s="22">
        <f t="shared" si="2"/>
        <v>1721.16</v>
      </c>
      <c r="K128" s="22">
        <v>1721.16</v>
      </c>
      <c r="L128" s="43">
        <f t="shared" si="3"/>
        <v>0</v>
      </c>
      <c r="M128" s="25"/>
      <c r="N128" s="70" t="s">
        <v>23</v>
      </c>
    </row>
    <row r="129" spans="2:14">
      <c r="B129" s="19">
        <v>46045</v>
      </c>
      <c r="C129" s="20" t="s">
        <v>15</v>
      </c>
      <c r="D129" s="21" t="s">
        <v>267</v>
      </c>
      <c r="E129" s="22">
        <v>271.52</v>
      </c>
      <c r="F129" s="21" t="s">
        <v>29</v>
      </c>
      <c r="G129" s="21"/>
      <c r="H129" s="21" t="s">
        <v>268</v>
      </c>
      <c r="I129" s="19">
        <v>46045</v>
      </c>
      <c r="J129" s="22">
        <f t="shared" si="2"/>
        <v>271.52</v>
      </c>
      <c r="K129" s="22">
        <v>271.52</v>
      </c>
      <c r="L129" s="43">
        <f t="shared" si="3"/>
        <v>0</v>
      </c>
      <c r="M129" s="25"/>
      <c r="N129" s="31"/>
    </row>
    <row r="130" spans="2:14">
      <c r="B130" s="129">
        <v>46045</v>
      </c>
      <c r="C130" s="130" t="s">
        <v>15</v>
      </c>
      <c r="D130" s="131" t="s">
        <v>269</v>
      </c>
      <c r="E130" s="132">
        <v>174.83</v>
      </c>
      <c r="F130" s="131" t="s">
        <v>29</v>
      </c>
      <c r="G130" s="131"/>
      <c r="H130" s="131" t="s">
        <v>270</v>
      </c>
      <c r="I130" s="129">
        <v>46045</v>
      </c>
      <c r="J130" s="132">
        <f t="shared" si="2"/>
        <v>174.83</v>
      </c>
      <c r="K130" s="132">
        <v>174.83</v>
      </c>
      <c r="L130" s="43">
        <f t="shared" si="3"/>
        <v>0</v>
      </c>
      <c r="M130" s="25"/>
      <c r="N130" s="70" t="s">
        <v>56</v>
      </c>
    </row>
    <row r="131" spans="2:14">
      <c r="B131" s="19">
        <v>46045</v>
      </c>
      <c r="C131" s="20" t="s">
        <v>15</v>
      </c>
      <c r="D131" s="21" t="s">
        <v>271</v>
      </c>
      <c r="E131" s="22">
        <v>3600</v>
      </c>
      <c r="F131" s="21" t="s">
        <v>17</v>
      </c>
      <c r="G131" s="21" t="s">
        <v>18</v>
      </c>
      <c r="H131" s="21" t="s">
        <v>272</v>
      </c>
      <c r="I131" s="19">
        <v>46045</v>
      </c>
      <c r="J131" s="22">
        <f t="shared" si="2"/>
        <v>3600</v>
      </c>
      <c r="K131" s="22">
        <v>3600</v>
      </c>
      <c r="L131" s="43">
        <f t="shared" si="3"/>
        <v>0</v>
      </c>
      <c r="M131" s="25"/>
      <c r="N131" s="70" t="s">
        <v>33</v>
      </c>
    </row>
    <row r="132" spans="2:14">
      <c r="B132" s="19">
        <v>46045</v>
      </c>
      <c r="C132" s="20" t="s">
        <v>15</v>
      </c>
      <c r="D132" s="21" t="s">
        <v>273</v>
      </c>
      <c r="E132" s="22">
        <v>398.8</v>
      </c>
      <c r="F132" s="21" t="s">
        <v>17</v>
      </c>
      <c r="G132" s="21" t="s">
        <v>18</v>
      </c>
      <c r="H132" s="21" t="s">
        <v>274</v>
      </c>
      <c r="I132" s="19">
        <v>46045</v>
      </c>
      <c r="J132" s="22">
        <f t="shared" si="2"/>
        <v>398.8</v>
      </c>
      <c r="K132" s="22">
        <v>398.8</v>
      </c>
      <c r="L132" s="43">
        <f t="shared" si="3"/>
        <v>0</v>
      </c>
      <c r="M132" s="25"/>
      <c r="N132" s="24"/>
    </row>
    <row r="133" spans="2:14">
      <c r="B133" s="19">
        <v>46045</v>
      </c>
      <c r="C133" s="20" t="s">
        <v>15</v>
      </c>
      <c r="D133" s="21" t="s">
        <v>275</v>
      </c>
      <c r="E133" s="22">
        <v>43.38</v>
      </c>
      <c r="F133" s="21" t="s">
        <v>17</v>
      </c>
      <c r="G133" s="21" t="s">
        <v>79</v>
      </c>
      <c r="H133" s="21" t="s">
        <v>276</v>
      </c>
      <c r="I133" s="19">
        <v>46045</v>
      </c>
      <c r="J133" s="22">
        <f t="shared" si="2"/>
        <v>43.38</v>
      </c>
      <c r="K133" s="22">
        <v>43.38</v>
      </c>
      <c r="L133" s="43">
        <f t="shared" si="3"/>
        <v>0</v>
      </c>
      <c r="M133" s="25"/>
      <c r="N133" s="70" t="s">
        <v>33</v>
      </c>
    </row>
    <row r="134" spans="2:14">
      <c r="B134" s="19">
        <v>46046</v>
      </c>
      <c r="C134" s="20" t="s">
        <v>15</v>
      </c>
      <c r="D134" s="21" t="s">
        <v>277</v>
      </c>
      <c r="E134" s="22">
        <v>634.95</v>
      </c>
      <c r="F134" s="21" t="s">
        <v>17</v>
      </c>
      <c r="G134" s="21" t="s">
        <v>278</v>
      </c>
      <c r="H134" s="21" t="s">
        <v>278</v>
      </c>
      <c r="I134" s="19">
        <v>46046</v>
      </c>
      <c r="J134" s="22">
        <f t="shared" si="2"/>
        <v>634.95</v>
      </c>
      <c r="K134" s="22">
        <v>634.95</v>
      </c>
      <c r="L134" s="43">
        <f t="shared" si="3"/>
        <v>0</v>
      </c>
      <c r="M134" s="25"/>
      <c r="N134" s="31"/>
    </row>
    <row r="135" spans="2:14">
      <c r="B135" s="72">
        <v>46046</v>
      </c>
      <c r="C135" s="73" t="s">
        <v>15</v>
      </c>
      <c r="D135" s="74" t="s">
        <v>279</v>
      </c>
      <c r="E135" s="75">
        <v>145.19</v>
      </c>
      <c r="F135" s="74" t="s">
        <v>29</v>
      </c>
      <c r="G135" s="74"/>
      <c r="H135" s="74" t="s">
        <v>280</v>
      </c>
      <c r="I135" s="72">
        <v>46046</v>
      </c>
      <c r="J135" s="75">
        <f t="shared" si="2"/>
        <v>145.19</v>
      </c>
      <c r="K135" s="75">
        <v>145.19</v>
      </c>
      <c r="L135" s="43">
        <f t="shared" si="3"/>
        <v>0</v>
      </c>
      <c r="M135" s="25"/>
      <c r="N135" s="70" t="s">
        <v>23</v>
      </c>
    </row>
    <row r="136" spans="2:14">
      <c r="B136" s="19">
        <v>46046</v>
      </c>
      <c r="C136" s="20" t="s">
        <v>15</v>
      </c>
      <c r="D136" s="21" t="s">
        <v>281</v>
      </c>
      <c r="E136" s="22">
        <v>373.03</v>
      </c>
      <c r="F136" s="21" t="s">
        <v>17</v>
      </c>
      <c r="G136" s="21" t="s">
        <v>21</v>
      </c>
      <c r="H136" s="21" t="s">
        <v>282</v>
      </c>
      <c r="I136" s="19">
        <v>46046</v>
      </c>
      <c r="J136" s="22">
        <f t="shared" ref="J136:J170" si="4">E136</f>
        <v>373.03</v>
      </c>
      <c r="K136" s="22">
        <v>373.03</v>
      </c>
      <c r="L136" s="43">
        <f t="shared" ref="L136:L203" si="5">J136-K136</f>
        <v>0</v>
      </c>
      <c r="M136" s="25" t="s">
        <v>283</v>
      </c>
      <c r="N136" s="31"/>
    </row>
    <row r="137" spans="2:14">
      <c r="B137" s="72">
        <v>46046</v>
      </c>
      <c r="C137" s="73" t="s">
        <v>15</v>
      </c>
      <c r="D137" s="74" t="s">
        <v>284</v>
      </c>
      <c r="E137" s="75">
        <v>98.9</v>
      </c>
      <c r="F137" s="74" t="s">
        <v>17</v>
      </c>
      <c r="G137" s="74" t="s">
        <v>21</v>
      </c>
      <c r="H137" s="74" t="s">
        <v>285</v>
      </c>
      <c r="I137" s="72">
        <v>46046</v>
      </c>
      <c r="J137" s="75">
        <f t="shared" si="4"/>
        <v>98.9</v>
      </c>
      <c r="K137" s="75">
        <v>98.9</v>
      </c>
      <c r="L137" s="43">
        <f t="shared" si="5"/>
        <v>0</v>
      </c>
      <c r="M137" s="25"/>
      <c r="N137" s="70" t="s">
        <v>23</v>
      </c>
    </row>
    <row r="138" spans="2:14">
      <c r="B138" s="34">
        <v>46048</v>
      </c>
      <c r="C138" s="20" t="s">
        <v>15</v>
      </c>
      <c r="D138" s="21" t="s">
        <v>286</v>
      </c>
      <c r="E138" s="22">
        <v>2747.39</v>
      </c>
      <c r="F138" s="21" t="s">
        <v>17</v>
      </c>
      <c r="G138" s="21" t="s">
        <v>21</v>
      </c>
      <c r="H138" s="21" t="s">
        <v>287</v>
      </c>
      <c r="I138" s="34">
        <v>46048</v>
      </c>
      <c r="J138" s="22">
        <f t="shared" si="4"/>
        <v>2747.39</v>
      </c>
      <c r="K138" s="22">
        <v>2747.39</v>
      </c>
      <c r="L138" s="43">
        <f t="shared" si="5"/>
        <v>0</v>
      </c>
      <c r="M138" s="25"/>
      <c r="N138" s="31"/>
    </row>
    <row r="139" spans="2:14">
      <c r="B139" s="34">
        <v>46048</v>
      </c>
      <c r="C139" s="20" t="s">
        <v>15</v>
      </c>
      <c r="D139" s="21" t="s">
        <v>288</v>
      </c>
      <c r="E139" s="22">
        <v>729.23</v>
      </c>
      <c r="F139" s="21" t="s">
        <v>17</v>
      </c>
      <c r="G139" s="21" t="s">
        <v>18</v>
      </c>
      <c r="H139" s="21" t="s">
        <v>289</v>
      </c>
      <c r="I139" s="34">
        <v>46048</v>
      </c>
      <c r="J139" s="22">
        <f t="shared" si="4"/>
        <v>729.23</v>
      </c>
      <c r="K139" s="22">
        <v>729.23</v>
      </c>
      <c r="L139" s="43">
        <f t="shared" si="5"/>
        <v>0</v>
      </c>
      <c r="M139" s="25"/>
      <c r="N139" s="31"/>
    </row>
    <row r="140" spans="2:14">
      <c r="B140" s="34">
        <v>46048</v>
      </c>
      <c r="C140" s="20" t="s">
        <v>15</v>
      </c>
      <c r="D140" s="21" t="s">
        <v>290</v>
      </c>
      <c r="E140" s="22">
        <v>1123.38</v>
      </c>
      <c r="F140" s="21" t="s">
        <v>17</v>
      </c>
      <c r="G140" s="21" t="s">
        <v>21</v>
      </c>
      <c r="H140" s="21" t="s">
        <v>291</v>
      </c>
      <c r="I140" s="34">
        <v>46048</v>
      </c>
      <c r="J140" s="22">
        <f t="shared" si="4"/>
        <v>1123.38</v>
      </c>
      <c r="K140" s="22">
        <v>1123.38</v>
      </c>
      <c r="L140" s="43">
        <f t="shared" si="5"/>
        <v>0</v>
      </c>
      <c r="M140" s="25"/>
      <c r="N140" s="31"/>
    </row>
    <row r="141" spans="2:14">
      <c r="B141" s="34"/>
      <c r="C141" s="20"/>
      <c r="D141" s="21"/>
      <c r="E141" s="22"/>
      <c r="F141" s="21"/>
      <c r="G141" s="21" t="s">
        <v>21</v>
      </c>
      <c r="H141" s="21" t="s">
        <v>292</v>
      </c>
      <c r="I141" s="34"/>
      <c r="J141" s="22"/>
      <c r="K141" s="22"/>
      <c r="L141" s="43"/>
      <c r="M141" s="25"/>
      <c r="N141" s="31"/>
    </row>
    <row r="142" spans="2:14">
      <c r="B142" s="34">
        <v>46048</v>
      </c>
      <c r="C142" s="20" t="s">
        <v>15</v>
      </c>
      <c r="D142" s="21" t="s">
        <v>293</v>
      </c>
      <c r="E142" s="22">
        <v>114.78</v>
      </c>
      <c r="F142" s="21" t="s">
        <v>17</v>
      </c>
      <c r="G142" s="21" t="s">
        <v>18</v>
      </c>
      <c r="H142" s="21" t="s">
        <v>294</v>
      </c>
      <c r="I142" s="34">
        <v>46048</v>
      </c>
      <c r="J142" s="22">
        <f t="shared" si="4"/>
        <v>114.78</v>
      </c>
      <c r="K142" s="22">
        <v>114.78</v>
      </c>
      <c r="L142" s="43">
        <f t="shared" si="5"/>
        <v>0</v>
      </c>
      <c r="M142" s="25"/>
      <c r="N142" s="31"/>
    </row>
    <row r="143" spans="2:14">
      <c r="B143" s="84">
        <v>46048</v>
      </c>
      <c r="C143" s="73" t="s">
        <v>15</v>
      </c>
      <c r="D143" s="74" t="s">
        <v>295</v>
      </c>
      <c r="E143" s="75">
        <v>221.07</v>
      </c>
      <c r="F143" s="74" t="s">
        <v>17</v>
      </c>
      <c r="G143" s="74" t="s">
        <v>21</v>
      </c>
      <c r="H143" s="74" t="s">
        <v>296</v>
      </c>
      <c r="I143" s="84">
        <v>46048</v>
      </c>
      <c r="J143" s="75">
        <f t="shared" si="4"/>
        <v>221.07</v>
      </c>
      <c r="K143" s="75">
        <v>221.07</v>
      </c>
      <c r="L143" s="43">
        <f t="shared" si="5"/>
        <v>0</v>
      </c>
      <c r="M143" s="25"/>
      <c r="N143" s="70" t="s">
        <v>23</v>
      </c>
    </row>
    <row r="144" spans="2:14">
      <c r="B144" s="84">
        <v>46048</v>
      </c>
      <c r="C144" s="73" t="s">
        <v>15</v>
      </c>
      <c r="D144" s="74" t="s">
        <v>297</v>
      </c>
      <c r="E144" s="75">
        <v>188.11</v>
      </c>
      <c r="F144" s="74" t="s">
        <v>17</v>
      </c>
      <c r="G144" s="74" t="s">
        <v>21</v>
      </c>
      <c r="H144" s="74" t="s">
        <v>298</v>
      </c>
      <c r="I144" s="84">
        <v>46048</v>
      </c>
      <c r="J144" s="75">
        <f t="shared" si="4"/>
        <v>188.11</v>
      </c>
      <c r="K144" s="75">
        <v>188.11</v>
      </c>
      <c r="L144" s="43">
        <f t="shared" si="5"/>
        <v>0</v>
      </c>
      <c r="M144" s="25"/>
      <c r="N144" s="70" t="s">
        <v>33</v>
      </c>
    </row>
    <row r="145" spans="1:14">
      <c r="B145" s="34">
        <v>46048</v>
      </c>
      <c r="C145" s="20" t="s">
        <v>15</v>
      </c>
      <c r="D145" s="21" t="s">
        <v>299</v>
      </c>
      <c r="E145" s="22">
        <v>860.92</v>
      </c>
      <c r="F145" s="21" t="s">
        <v>17</v>
      </c>
      <c r="G145" s="21" t="s">
        <v>18</v>
      </c>
      <c r="H145" s="21" t="s">
        <v>289</v>
      </c>
      <c r="I145" s="34">
        <v>46048</v>
      </c>
      <c r="J145" s="22">
        <f t="shared" si="4"/>
        <v>860.92</v>
      </c>
      <c r="K145" s="22">
        <v>860.92</v>
      </c>
      <c r="L145" s="43">
        <f t="shared" si="5"/>
        <v>0</v>
      </c>
      <c r="M145" s="25"/>
      <c r="N145" s="31"/>
    </row>
    <row r="146" spans="1:14">
      <c r="B146" s="84">
        <v>46048</v>
      </c>
      <c r="C146" s="73" t="s">
        <v>15</v>
      </c>
      <c r="D146" s="74" t="s">
        <v>300</v>
      </c>
      <c r="E146" s="75">
        <v>278.2</v>
      </c>
      <c r="F146" s="74" t="s">
        <v>17</v>
      </c>
      <c r="G146" s="74" t="s">
        <v>21</v>
      </c>
      <c r="H146" s="74" t="s">
        <v>301</v>
      </c>
      <c r="I146" s="84">
        <v>46048</v>
      </c>
      <c r="J146" s="75">
        <f t="shared" si="4"/>
        <v>278.2</v>
      </c>
      <c r="K146" s="75">
        <v>278.2</v>
      </c>
      <c r="L146" s="43">
        <f t="shared" si="5"/>
        <v>0</v>
      </c>
      <c r="M146" s="25"/>
      <c r="N146" s="70" t="s">
        <v>39</v>
      </c>
    </row>
    <row r="147" spans="1:14">
      <c r="B147" s="133">
        <v>46048</v>
      </c>
      <c r="C147" s="130" t="s">
        <v>15</v>
      </c>
      <c r="D147" s="131" t="s">
        <v>302</v>
      </c>
      <c r="E147" s="132">
        <v>291.38</v>
      </c>
      <c r="F147" s="131" t="s">
        <v>17</v>
      </c>
      <c r="G147" s="131" t="s">
        <v>21</v>
      </c>
      <c r="H147" s="131" t="s">
        <v>303</v>
      </c>
      <c r="I147" s="133">
        <v>46048</v>
      </c>
      <c r="J147" s="132">
        <f t="shared" si="4"/>
        <v>291.38</v>
      </c>
      <c r="K147" s="132">
        <v>291.38</v>
      </c>
      <c r="L147" s="43">
        <f t="shared" si="5"/>
        <v>0</v>
      </c>
      <c r="M147" s="25"/>
      <c r="N147" s="70" t="s">
        <v>56</v>
      </c>
    </row>
    <row r="148" spans="1:14">
      <c r="B148" s="34">
        <v>46049</v>
      </c>
      <c r="C148" s="20" t="s">
        <v>15</v>
      </c>
      <c r="D148" s="21" t="s">
        <v>304</v>
      </c>
      <c r="E148" s="22">
        <v>1282.68</v>
      </c>
      <c r="F148" s="21" t="s">
        <v>17</v>
      </c>
      <c r="G148" s="21" t="s">
        <v>21</v>
      </c>
      <c r="H148" s="21" t="s">
        <v>305</v>
      </c>
      <c r="I148" s="34">
        <v>46049</v>
      </c>
      <c r="J148" s="22">
        <f t="shared" si="4"/>
        <v>1282.68</v>
      </c>
      <c r="K148" s="22">
        <v>1282.68</v>
      </c>
      <c r="L148" s="43">
        <f t="shared" si="5"/>
        <v>0</v>
      </c>
      <c r="M148" s="25"/>
      <c r="N148" s="31"/>
    </row>
    <row r="149" spans="1:14">
      <c r="B149" s="84">
        <v>46049</v>
      </c>
      <c r="C149" s="73" t="s">
        <v>15</v>
      </c>
      <c r="D149" s="74" t="s">
        <v>306</v>
      </c>
      <c r="E149" s="75">
        <v>68.08</v>
      </c>
      <c r="F149" s="74" t="s">
        <v>29</v>
      </c>
      <c r="G149" s="74"/>
      <c r="H149" s="74" t="s">
        <v>307</v>
      </c>
      <c r="I149" s="84">
        <v>46049</v>
      </c>
      <c r="J149" s="75">
        <f t="shared" si="4"/>
        <v>68.08</v>
      </c>
      <c r="K149" s="75">
        <v>68.08</v>
      </c>
      <c r="L149" s="43">
        <f t="shared" si="5"/>
        <v>0</v>
      </c>
      <c r="M149" s="25"/>
      <c r="N149" s="70" t="s">
        <v>23</v>
      </c>
    </row>
    <row r="150" spans="1:14">
      <c r="B150" s="34">
        <v>46049</v>
      </c>
      <c r="C150" s="20" t="s">
        <v>15</v>
      </c>
      <c r="D150" s="21" t="s">
        <v>308</v>
      </c>
      <c r="E150" s="22">
        <v>133.05</v>
      </c>
      <c r="F150" s="21" t="s">
        <v>17</v>
      </c>
      <c r="G150" s="21" t="s">
        <v>21</v>
      </c>
      <c r="H150" s="21" t="s">
        <v>309</v>
      </c>
      <c r="I150" s="34">
        <v>46049</v>
      </c>
      <c r="J150" s="22">
        <f t="shared" si="4"/>
        <v>133.05</v>
      </c>
      <c r="K150" s="22">
        <v>133.05</v>
      </c>
      <c r="L150" s="43">
        <f t="shared" si="5"/>
        <v>0</v>
      </c>
      <c r="M150" s="25"/>
      <c r="N150" s="31"/>
    </row>
    <row r="151" spans="1:14">
      <c r="B151" s="84">
        <v>46049</v>
      </c>
      <c r="C151" s="73" t="s">
        <v>15</v>
      </c>
      <c r="D151" s="74" t="s">
        <v>310</v>
      </c>
      <c r="E151" s="75">
        <v>713.7</v>
      </c>
      <c r="F151" s="74" t="s">
        <v>29</v>
      </c>
      <c r="G151" s="74"/>
      <c r="H151" s="74" t="s">
        <v>311</v>
      </c>
      <c r="I151" s="84">
        <v>46049</v>
      </c>
      <c r="J151" s="75">
        <f t="shared" si="4"/>
        <v>713.7</v>
      </c>
      <c r="K151" s="75">
        <v>713.7</v>
      </c>
      <c r="L151" s="43">
        <f t="shared" si="5"/>
        <v>0</v>
      </c>
      <c r="M151" s="25"/>
      <c r="N151" s="70" t="s">
        <v>211</v>
      </c>
    </row>
    <row r="152" spans="1:14">
      <c r="B152" s="133">
        <v>46049</v>
      </c>
      <c r="C152" s="130" t="s">
        <v>15</v>
      </c>
      <c r="D152" s="131" t="s">
        <v>312</v>
      </c>
      <c r="E152" s="132">
        <v>133.41</v>
      </c>
      <c r="F152" s="131" t="s">
        <v>17</v>
      </c>
      <c r="G152" s="131" t="s">
        <v>18</v>
      </c>
      <c r="H152" s="131" t="s">
        <v>313</v>
      </c>
      <c r="I152" s="133">
        <v>46049</v>
      </c>
      <c r="J152" s="132">
        <f t="shared" si="4"/>
        <v>133.41</v>
      </c>
      <c r="K152" s="132">
        <v>133.41</v>
      </c>
      <c r="L152" s="43">
        <f t="shared" si="5"/>
        <v>0</v>
      </c>
      <c r="M152" s="25"/>
      <c r="N152" s="70" t="s">
        <v>56</v>
      </c>
    </row>
    <row r="153" spans="1:14">
      <c r="B153" s="34">
        <v>46050</v>
      </c>
      <c r="C153" s="20" t="s">
        <v>15</v>
      </c>
      <c r="D153" s="21" t="s">
        <v>314</v>
      </c>
      <c r="E153" s="22">
        <v>304.48</v>
      </c>
      <c r="F153" s="21" t="s">
        <v>17</v>
      </c>
      <c r="G153" s="21" t="s">
        <v>21</v>
      </c>
      <c r="H153" s="21" t="s">
        <v>315</v>
      </c>
      <c r="I153" s="34">
        <v>46050</v>
      </c>
      <c r="J153" s="22">
        <f t="shared" si="4"/>
        <v>304.48</v>
      </c>
      <c r="K153" s="22">
        <v>304.48</v>
      </c>
      <c r="L153" s="43">
        <f t="shared" si="5"/>
        <v>0</v>
      </c>
      <c r="M153" s="25"/>
      <c r="N153" s="31"/>
    </row>
    <row r="154" spans="1:14">
      <c r="B154" s="34">
        <v>46050</v>
      </c>
      <c r="C154" s="20" t="s">
        <v>15</v>
      </c>
      <c r="D154" s="21" t="s">
        <v>316</v>
      </c>
      <c r="E154" s="22">
        <v>967.89</v>
      </c>
      <c r="F154" s="21" t="s">
        <v>17</v>
      </c>
      <c r="G154" s="21" t="s">
        <v>18</v>
      </c>
      <c r="H154" s="21" t="s">
        <v>317</v>
      </c>
      <c r="I154" s="34">
        <v>46050</v>
      </c>
      <c r="J154" s="22">
        <f t="shared" si="4"/>
        <v>967.89</v>
      </c>
      <c r="K154" s="22">
        <v>967.89</v>
      </c>
      <c r="L154" s="43">
        <f t="shared" si="5"/>
        <v>0</v>
      </c>
      <c r="M154" s="25"/>
      <c r="N154" s="31"/>
    </row>
    <row r="155" spans="1:14">
      <c r="B155" s="84">
        <v>46050</v>
      </c>
      <c r="C155" s="73" t="s">
        <v>15</v>
      </c>
      <c r="D155" s="74" t="s">
        <v>318</v>
      </c>
      <c r="E155" s="75">
        <v>103.4</v>
      </c>
      <c r="F155" s="74" t="s">
        <v>17</v>
      </c>
      <c r="G155" s="74" t="s">
        <v>21</v>
      </c>
      <c r="H155" s="74" t="s">
        <v>319</v>
      </c>
      <c r="I155" s="84">
        <v>46050</v>
      </c>
      <c r="J155" s="75">
        <f t="shared" si="4"/>
        <v>103.4</v>
      </c>
      <c r="K155" s="75">
        <v>103.4</v>
      </c>
      <c r="L155" s="43">
        <f t="shared" si="5"/>
        <v>0</v>
      </c>
      <c r="M155" s="25"/>
      <c r="N155" s="70" t="s">
        <v>63</v>
      </c>
    </row>
    <row r="156" spans="1:14">
      <c r="A156" s="32"/>
      <c r="B156" s="84">
        <v>46050</v>
      </c>
      <c r="C156" s="73" t="s">
        <v>15</v>
      </c>
      <c r="D156" s="74" t="s">
        <v>320</v>
      </c>
      <c r="E156" s="75">
        <v>219.34</v>
      </c>
      <c r="F156" s="74" t="s">
        <v>17</v>
      </c>
      <c r="G156" s="74" t="s">
        <v>21</v>
      </c>
      <c r="H156" s="74" t="s">
        <v>321</v>
      </c>
      <c r="I156" s="84">
        <v>46050</v>
      </c>
      <c r="J156" s="75">
        <f t="shared" si="4"/>
        <v>219.34</v>
      </c>
      <c r="K156" s="75">
        <v>219.34</v>
      </c>
      <c r="L156" s="43">
        <f t="shared" si="5"/>
        <v>0</v>
      </c>
      <c r="M156" s="25"/>
      <c r="N156" s="70" t="s">
        <v>33</v>
      </c>
    </row>
    <row r="157" spans="1:14">
      <c r="A157" s="33"/>
      <c r="B157" s="84">
        <v>46050</v>
      </c>
      <c r="C157" s="73" t="s">
        <v>15</v>
      </c>
      <c r="D157" s="74" t="s">
        <v>322</v>
      </c>
      <c r="E157" s="75">
        <v>394.97</v>
      </c>
      <c r="F157" s="74" t="s">
        <v>17</v>
      </c>
      <c r="G157" s="74" t="s">
        <v>21</v>
      </c>
      <c r="H157" s="74" t="s">
        <v>323</v>
      </c>
      <c r="I157" s="84">
        <v>46050</v>
      </c>
      <c r="J157" s="75">
        <f t="shared" si="4"/>
        <v>394.97</v>
      </c>
      <c r="K157" s="75">
        <v>394.97</v>
      </c>
      <c r="L157" s="43">
        <f t="shared" si="5"/>
        <v>0</v>
      </c>
      <c r="M157" s="25"/>
      <c r="N157" s="70" t="s">
        <v>39</v>
      </c>
    </row>
    <row r="158" spans="1:14">
      <c r="B158" s="34">
        <v>46050</v>
      </c>
      <c r="C158" s="20" t="s">
        <v>15</v>
      </c>
      <c r="D158" s="21" t="s">
        <v>324</v>
      </c>
      <c r="E158" s="22">
        <v>215.47</v>
      </c>
      <c r="F158" s="21" t="s">
        <v>17</v>
      </c>
      <c r="G158" s="21" t="s">
        <v>21</v>
      </c>
      <c r="H158" s="21" t="s">
        <v>325</v>
      </c>
      <c r="I158" s="34">
        <v>46050</v>
      </c>
      <c r="J158" s="22">
        <f t="shared" si="4"/>
        <v>215.47</v>
      </c>
      <c r="K158" s="22">
        <v>215.47</v>
      </c>
      <c r="L158" s="43">
        <f t="shared" si="5"/>
        <v>0</v>
      </c>
      <c r="M158" s="25"/>
      <c r="N158" s="31"/>
    </row>
    <row r="159" spans="1:14">
      <c r="B159" s="34">
        <v>46050</v>
      </c>
      <c r="C159" s="20" t="s">
        <v>64</v>
      </c>
      <c r="D159" s="21" t="s">
        <v>326</v>
      </c>
      <c r="E159" s="22">
        <v>500.98</v>
      </c>
      <c r="F159" s="21" t="s">
        <v>29</v>
      </c>
      <c r="G159" s="21"/>
      <c r="H159" s="21" t="s">
        <v>327</v>
      </c>
      <c r="I159" s="34">
        <v>46050</v>
      </c>
      <c r="J159" s="22">
        <f t="shared" si="4"/>
        <v>500.98</v>
      </c>
      <c r="K159" s="22">
        <v>500.98</v>
      </c>
      <c r="L159" s="43">
        <f t="shared" si="5"/>
        <v>0</v>
      </c>
      <c r="M159" s="25"/>
      <c r="N159" s="31"/>
    </row>
    <row r="160" spans="1:14">
      <c r="B160" s="84">
        <v>46050</v>
      </c>
      <c r="C160" s="73" t="s">
        <v>15</v>
      </c>
      <c r="D160" s="74" t="s">
        <v>328</v>
      </c>
      <c r="E160" s="75">
        <v>103.7</v>
      </c>
      <c r="F160" s="74" t="s">
        <v>17</v>
      </c>
      <c r="G160" s="74" t="s">
        <v>21</v>
      </c>
      <c r="H160" s="74" t="s">
        <v>329</v>
      </c>
      <c r="I160" s="84">
        <v>46050</v>
      </c>
      <c r="J160" s="75">
        <f t="shared" si="4"/>
        <v>103.7</v>
      </c>
      <c r="K160" s="75">
        <v>103.7</v>
      </c>
      <c r="L160" s="43">
        <f t="shared" si="5"/>
        <v>0</v>
      </c>
      <c r="M160" s="25"/>
      <c r="N160" s="70" t="s">
        <v>33</v>
      </c>
    </row>
    <row r="161" spans="2:14">
      <c r="B161" s="34">
        <v>46051</v>
      </c>
      <c r="C161" s="20" t="s">
        <v>15</v>
      </c>
      <c r="D161" s="21" t="s">
        <v>330</v>
      </c>
      <c r="E161" s="22">
        <v>124.67</v>
      </c>
      <c r="F161" s="21" t="s">
        <v>17</v>
      </c>
      <c r="G161" s="21" t="s">
        <v>21</v>
      </c>
      <c r="H161" s="21" t="s">
        <v>331</v>
      </c>
      <c r="I161" s="34">
        <v>46051</v>
      </c>
      <c r="J161" s="22">
        <f t="shared" si="4"/>
        <v>124.67</v>
      </c>
      <c r="K161" s="22">
        <v>124.67</v>
      </c>
      <c r="L161" s="43">
        <f t="shared" si="5"/>
        <v>0</v>
      </c>
      <c r="M161" s="25"/>
      <c r="N161" s="31"/>
    </row>
    <row r="162" spans="2:14">
      <c r="B162" s="34">
        <v>46051</v>
      </c>
      <c r="C162" s="20" t="s">
        <v>15</v>
      </c>
      <c r="D162" s="21" t="s">
        <v>332</v>
      </c>
      <c r="E162" s="22">
        <v>99.07</v>
      </c>
      <c r="F162" s="21" t="s">
        <v>29</v>
      </c>
      <c r="G162" s="21"/>
      <c r="H162" s="21" t="s">
        <v>333</v>
      </c>
      <c r="I162" s="34">
        <v>46051</v>
      </c>
      <c r="J162" s="22">
        <f t="shared" si="4"/>
        <v>99.07</v>
      </c>
      <c r="K162" s="22">
        <v>99.07</v>
      </c>
      <c r="L162" s="43">
        <f t="shared" si="5"/>
        <v>0</v>
      </c>
      <c r="M162" s="25"/>
      <c r="N162" s="24"/>
    </row>
    <row r="163" spans="2:14">
      <c r="B163" s="34">
        <v>46051</v>
      </c>
      <c r="C163" s="20" t="s">
        <v>15</v>
      </c>
      <c r="D163" s="21" t="s">
        <v>334</v>
      </c>
      <c r="E163" s="22">
        <v>219.14</v>
      </c>
      <c r="F163" s="21" t="s">
        <v>17</v>
      </c>
      <c r="G163" s="21" t="s">
        <v>21</v>
      </c>
      <c r="H163" s="21" t="s">
        <v>335</v>
      </c>
      <c r="I163" s="34">
        <v>46051</v>
      </c>
      <c r="J163" s="22">
        <f t="shared" si="4"/>
        <v>219.14</v>
      </c>
      <c r="K163" s="22">
        <v>219.14</v>
      </c>
      <c r="L163" s="43">
        <f t="shared" si="5"/>
        <v>0</v>
      </c>
      <c r="M163" s="25"/>
      <c r="N163" s="31"/>
    </row>
    <row r="164" spans="2:14">
      <c r="B164" s="34">
        <v>46051</v>
      </c>
      <c r="C164" s="20" t="s">
        <v>15</v>
      </c>
      <c r="D164" s="21" t="s">
        <v>336</v>
      </c>
      <c r="E164" s="22">
        <v>1248.1</v>
      </c>
      <c r="F164" s="21" t="s">
        <v>17</v>
      </c>
      <c r="G164" s="21" t="s">
        <v>18</v>
      </c>
      <c r="H164" s="21" t="s">
        <v>337</v>
      </c>
      <c r="I164" s="34">
        <v>46051</v>
      </c>
      <c r="J164" s="22">
        <f t="shared" si="4"/>
        <v>1248.1</v>
      </c>
      <c r="K164" s="22">
        <v>1248.1</v>
      </c>
      <c r="L164" s="43">
        <f t="shared" si="5"/>
        <v>0</v>
      </c>
      <c r="M164" s="25"/>
      <c r="N164" s="31"/>
    </row>
    <row r="165" spans="2:14">
      <c r="B165" s="84">
        <v>46051</v>
      </c>
      <c r="C165" s="73" t="s">
        <v>15</v>
      </c>
      <c r="D165" s="74" t="s">
        <v>338</v>
      </c>
      <c r="E165" s="75">
        <v>173.32</v>
      </c>
      <c r="F165" s="74" t="s">
        <v>17</v>
      </c>
      <c r="G165" s="74" t="s">
        <v>21</v>
      </c>
      <c r="H165" s="74" t="s">
        <v>339</v>
      </c>
      <c r="I165" s="84">
        <v>46051</v>
      </c>
      <c r="J165" s="75">
        <f t="shared" si="4"/>
        <v>173.32</v>
      </c>
      <c r="K165" s="75">
        <v>173.32</v>
      </c>
      <c r="L165" s="43">
        <f t="shared" si="5"/>
        <v>0</v>
      </c>
      <c r="M165" s="25"/>
      <c r="N165" s="70" t="s">
        <v>23</v>
      </c>
    </row>
    <row r="166" spans="2:14">
      <c r="B166" s="34">
        <v>46051</v>
      </c>
      <c r="C166" s="20" t="s">
        <v>15</v>
      </c>
      <c r="D166" s="21" t="s">
        <v>340</v>
      </c>
      <c r="E166" s="22">
        <v>845.65</v>
      </c>
      <c r="F166" s="21" t="s">
        <v>17</v>
      </c>
      <c r="G166" s="21" t="s">
        <v>21</v>
      </c>
      <c r="H166" s="21" t="s">
        <v>341</v>
      </c>
      <c r="I166" s="34">
        <v>46051</v>
      </c>
      <c r="J166" s="22">
        <f t="shared" si="4"/>
        <v>845.65</v>
      </c>
      <c r="K166" s="22">
        <v>800</v>
      </c>
      <c r="L166" s="43">
        <f t="shared" si="5"/>
        <v>45.65</v>
      </c>
      <c r="M166" s="25"/>
      <c r="N166" s="31"/>
    </row>
    <row r="167" spans="2:14">
      <c r="B167" s="34"/>
      <c r="C167" s="20"/>
      <c r="D167" s="21"/>
      <c r="E167" s="22"/>
      <c r="F167" s="21" t="s">
        <v>29</v>
      </c>
      <c r="G167" s="21"/>
      <c r="H167" s="21" t="s">
        <v>342</v>
      </c>
      <c r="I167" s="34"/>
      <c r="J167" s="22"/>
      <c r="K167" s="22">
        <v>45.65</v>
      </c>
      <c r="L167" s="43">
        <f t="shared" si="5"/>
        <v>-45.65</v>
      </c>
      <c r="M167" s="25"/>
      <c r="N167" s="31"/>
    </row>
    <row r="168" spans="2:14">
      <c r="B168" s="34">
        <v>46051</v>
      </c>
      <c r="C168" s="20" t="s">
        <v>15</v>
      </c>
      <c r="D168" s="21" t="s">
        <v>343</v>
      </c>
      <c r="E168" s="22">
        <v>187.59</v>
      </c>
      <c r="F168" s="21" t="s">
        <v>17</v>
      </c>
      <c r="G168" s="21" t="s">
        <v>21</v>
      </c>
      <c r="H168" s="21" t="s">
        <v>341</v>
      </c>
      <c r="I168" s="34">
        <v>46051</v>
      </c>
      <c r="J168" s="22">
        <f t="shared" si="4"/>
        <v>187.59</v>
      </c>
      <c r="K168" s="22">
        <v>100</v>
      </c>
      <c r="L168" s="43">
        <f t="shared" si="5"/>
        <v>87.59</v>
      </c>
      <c r="M168" s="25"/>
      <c r="N168" s="31"/>
    </row>
    <row r="169" spans="2:14">
      <c r="B169" s="34"/>
      <c r="C169" s="20"/>
      <c r="D169" s="21"/>
      <c r="E169" s="22"/>
      <c r="F169" s="21" t="s">
        <v>17</v>
      </c>
      <c r="G169" s="21" t="s">
        <v>21</v>
      </c>
      <c r="H169" s="21" t="s">
        <v>344</v>
      </c>
      <c r="I169" s="34"/>
      <c r="J169" s="22"/>
      <c r="K169" s="22">
        <v>87.59</v>
      </c>
      <c r="L169" s="43">
        <f t="shared" si="5"/>
        <v>-87.59</v>
      </c>
      <c r="M169" s="25"/>
      <c r="N169" s="31"/>
    </row>
    <row r="170" spans="2:14">
      <c r="B170" s="84">
        <v>46051</v>
      </c>
      <c r="C170" s="73" t="s">
        <v>15</v>
      </c>
      <c r="D170" s="74" t="s">
        <v>345</v>
      </c>
      <c r="E170" s="75">
        <v>155.1</v>
      </c>
      <c r="F170" s="74" t="s">
        <v>17</v>
      </c>
      <c r="G170" s="74" t="s">
        <v>21</v>
      </c>
      <c r="H170" s="74" t="s">
        <v>346</v>
      </c>
      <c r="I170" s="84">
        <v>46051</v>
      </c>
      <c r="J170" s="75">
        <f t="shared" si="4"/>
        <v>155.1</v>
      </c>
      <c r="K170" s="75">
        <v>155.1</v>
      </c>
      <c r="L170" s="43">
        <f t="shared" si="5"/>
        <v>0</v>
      </c>
      <c r="M170" s="25"/>
      <c r="N170" s="70" t="s">
        <v>63</v>
      </c>
    </row>
    <row r="171" spans="2:14">
      <c r="B171" s="34">
        <v>46051</v>
      </c>
      <c r="C171" s="20" t="s">
        <v>15</v>
      </c>
      <c r="D171" s="21" t="s">
        <v>347</v>
      </c>
      <c r="E171" s="22">
        <v>385.32</v>
      </c>
      <c r="F171" s="21" t="s">
        <v>17</v>
      </c>
      <c r="G171" s="21" t="s">
        <v>21</v>
      </c>
      <c r="H171" s="21" t="s">
        <v>348</v>
      </c>
      <c r="I171" s="34">
        <v>46051</v>
      </c>
      <c r="J171" s="22">
        <f t="shared" ref="J171:J205" si="6">E171</f>
        <v>385.32</v>
      </c>
      <c r="K171" s="22">
        <v>385.32</v>
      </c>
      <c r="L171" s="43">
        <f t="shared" si="5"/>
        <v>0</v>
      </c>
      <c r="M171" s="25"/>
      <c r="N171" s="31"/>
    </row>
    <row r="172" spans="2:14">
      <c r="B172" s="84">
        <v>46051</v>
      </c>
      <c r="C172" s="73" t="s">
        <v>15</v>
      </c>
      <c r="D172" s="74" t="s">
        <v>349</v>
      </c>
      <c r="E172" s="75">
        <v>813.94</v>
      </c>
      <c r="F172" s="74" t="s">
        <v>17</v>
      </c>
      <c r="G172" s="74" t="s">
        <v>18</v>
      </c>
      <c r="H172" s="74" t="s">
        <v>350</v>
      </c>
      <c r="I172" s="84">
        <v>46051</v>
      </c>
      <c r="J172" s="75">
        <f t="shared" si="6"/>
        <v>813.94</v>
      </c>
      <c r="K172" s="75">
        <v>813.94</v>
      </c>
      <c r="L172" s="43">
        <f t="shared" si="5"/>
        <v>0</v>
      </c>
      <c r="M172" s="25"/>
      <c r="N172" s="70" t="s">
        <v>23</v>
      </c>
    </row>
    <row r="173" spans="2:14">
      <c r="B173" s="34">
        <v>46051</v>
      </c>
      <c r="C173" s="20" t="s">
        <v>15</v>
      </c>
      <c r="D173" s="21" t="s">
        <v>351</v>
      </c>
      <c r="E173" s="22">
        <v>1586.04</v>
      </c>
      <c r="F173" s="21" t="s">
        <v>17</v>
      </c>
      <c r="G173" s="21" t="s">
        <v>21</v>
      </c>
      <c r="H173" s="21" t="s">
        <v>352</v>
      </c>
      <c r="I173" s="34">
        <v>46051</v>
      </c>
      <c r="J173" s="22">
        <f t="shared" si="6"/>
        <v>1586.04</v>
      </c>
      <c r="K173" s="22">
        <v>1586.04</v>
      </c>
      <c r="L173" s="43">
        <f t="shared" si="5"/>
        <v>0</v>
      </c>
      <c r="M173" s="25"/>
      <c r="N173" s="31"/>
    </row>
    <row r="174" spans="2:14">
      <c r="B174" s="84">
        <v>46052</v>
      </c>
      <c r="C174" s="73" t="s">
        <v>15</v>
      </c>
      <c r="D174" s="74" t="s">
        <v>353</v>
      </c>
      <c r="E174" s="75">
        <v>414.2</v>
      </c>
      <c r="F174" s="74" t="s">
        <v>17</v>
      </c>
      <c r="G174" s="74" t="s">
        <v>21</v>
      </c>
      <c r="H174" s="74" t="s">
        <v>354</v>
      </c>
      <c r="I174" s="84">
        <v>46052</v>
      </c>
      <c r="J174" s="75">
        <f t="shared" si="6"/>
        <v>414.2</v>
      </c>
      <c r="K174" s="75">
        <v>414.2</v>
      </c>
      <c r="L174" s="43">
        <f t="shared" si="5"/>
        <v>0</v>
      </c>
      <c r="M174" s="25"/>
      <c r="N174" s="70" t="s">
        <v>63</v>
      </c>
    </row>
    <row r="175" spans="2:14">
      <c r="B175" s="34">
        <v>46052</v>
      </c>
      <c r="C175" s="20" t="s">
        <v>15</v>
      </c>
      <c r="D175" s="21" t="s">
        <v>355</v>
      </c>
      <c r="E175" s="22">
        <v>185.34</v>
      </c>
      <c r="F175" s="21" t="s">
        <v>17</v>
      </c>
      <c r="G175" s="21" t="s">
        <v>21</v>
      </c>
      <c r="H175" s="21" t="s">
        <v>356</v>
      </c>
      <c r="I175" s="34">
        <v>46052</v>
      </c>
      <c r="J175" s="22">
        <f t="shared" si="6"/>
        <v>185.34</v>
      </c>
      <c r="K175" s="22">
        <v>185.34</v>
      </c>
      <c r="L175" s="43">
        <f t="shared" si="5"/>
        <v>0</v>
      </c>
      <c r="M175" s="25"/>
      <c r="N175" s="31"/>
    </row>
    <row r="176" spans="2:14">
      <c r="B176" s="84">
        <v>46052</v>
      </c>
      <c r="C176" s="73" t="s">
        <v>15</v>
      </c>
      <c r="D176" s="74" t="s">
        <v>357</v>
      </c>
      <c r="E176" s="75">
        <v>61.62</v>
      </c>
      <c r="F176" s="74" t="s">
        <v>29</v>
      </c>
      <c r="G176" s="74"/>
      <c r="H176" s="74" t="s">
        <v>358</v>
      </c>
      <c r="I176" s="84">
        <v>46052</v>
      </c>
      <c r="J176" s="75">
        <f t="shared" si="6"/>
        <v>61.62</v>
      </c>
      <c r="K176" s="75">
        <v>61.62</v>
      </c>
      <c r="L176" s="43">
        <f t="shared" si="5"/>
        <v>0</v>
      </c>
      <c r="M176" s="25"/>
      <c r="N176" s="70" t="s">
        <v>23</v>
      </c>
    </row>
    <row r="177" spans="2:14">
      <c r="B177" s="84"/>
      <c r="C177" s="73"/>
      <c r="D177" s="74"/>
      <c r="E177" s="75"/>
      <c r="F177" s="74" t="s">
        <v>17</v>
      </c>
      <c r="G177" s="74" t="s">
        <v>21</v>
      </c>
      <c r="H177" s="74" t="s">
        <v>359</v>
      </c>
      <c r="I177" s="84"/>
      <c r="J177" s="75"/>
      <c r="K177" s="75"/>
      <c r="L177" s="43"/>
      <c r="M177" s="25"/>
      <c r="N177" s="31"/>
    </row>
    <row r="178" spans="2:14">
      <c r="B178" s="84">
        <v>46052</v>
      </c>
      <c r="C178" s="73" t="s">
        <v>15</v>
      </c>
      <c r="D178" s="74" t="s">
        <v>360</v>
      </c>
      <c r="E178" s="75">
        <v>109.57</v>
      </c>
      <c r="F178" s="74" t="s">
        <v>17</v>
      </c>
      <c r="G178" s="74" t="s">
        <v>21</v>
      </c>
      <c r="H178" s="74" t="s">
        <v>361</v>
      </c>
      <c r="I178" s="84">
        <v>46052</v>
      </c>
      <c r="J178" s="75">
        <f t="shared" si="6"/>
        <v>109.57</v>
      </c>
      <c r="K178" s="75">
        <v>109.57</v>
      </c>
      <c r="L178" s="43">
        <f t="shared" si="5"/>
        <v>0</v>
      </c>
      <c r="M178" s="25"/>
      <c r="N178" s="70" t="s">
        <v>39</v>
      </c>
    </row>
    <row r="179" spans="2:14">
      <c r="B179" s="84">
        <v>46052</v>
      </c>
      <c r="C179" s="73" t="s">
        <v>15</v>
      </c>
      <c r="D179" s="74" t="s">
        <v>362</v>
      </c>
      <c r="E179" s="75">
        <v>87.54</v>
      </c>
      <c r="F179" s="74" t="s">
        <v>17</v>
      </c>
      <c r="G179" s="74" t="s">
        <v>21</v>
      </c>
      <c r="H179" s="134" t="s">
        <v>363</v>
      </c>
      <c r="I179" s="84">
        <v>46052</v>
      </c>
      <c r="J179" s="75">
        <f t="shared" si="6"/>
        <v>87.54</v>
      </c>
      <c r="K179" s="75">
        <v>87.54</v>
      </c>
      <c r="L179" s="43">
        <f t="shared" si="5"/>
        <v>0</v>
      </c>
      <c r="M179" s="25"/>
      <c r="N179" s="70" t="s">
        <v>23</v>
      </c>
    </row>
    <row r="180" spans="2:14">
      <c r="B180" s="107">
        <v>46052</v>
      </c>
      <c r="C180" s="65" t="s">
        <v>15</v>
      </c>
      <c r="D180" s="66" t="s">
        <v>364</v>
      </c>
      <c r="E180" s="67">
        <v>170.37</v>
      </c>
      <c r="F180" s="66" t="s">
        <v>17</v>
      </c>
      <c r="G180" s="66" t="s">
        <v>18</v>
      </c>
      <c r="H180" s="66" t="s">
        <v>365</v>
      </c>
      <c r="I180" s="107">
        <v>46052</v>
      </c>
      <c r="J180" s="67">
        <f t="shared" si="6"/>
        <v>170.37</v>
      </c>
      <c r="K180" s="67">
        <v>170.37</v>
      </c>
      <c r="L180" s="43">
        <f t="shared" si="5"/>
        <v>0</v>
      </c>
      <c r="M180" s="25"/>
      <c r="N180" s="70" t="s">
        <v>366</v>
      </c>
    </row>
    <row r="181" spans="2:14">
      <c r="B181" s="34">
        <v>46053</v>
      </c>
      <c r="C181" s="20" t="s">
        <v>15</v>
      </c>
      <c r="D181" s="21" t="s">
        <v>367</v>
      </c>
      <c r="E181" s="22">
        <v>325.33</v>
      </c>
      <c r="F181" s="21" t="s">
        <v>29</v>
      </c>
      <c r="G181" s="21"/>
      <c r="H181" s="21" t="s">
        <v>368</v>
      </c>
      <c r="I181" s="34">
        <v>46053</v>
      </c>
      <c r="J181" s="22">
        <f t="shared" si="6"/>
        <v>325.33</v>
      </c>
      <c r="K181" s="22">
        <v>325.33</v>
      </c>
      <c r="L181" s="43">
        <f t="shared" si="5"/>
        <v>0</v>
      </c>
      <c r="M181" s="25"/>
      <c r="N181" s="31"/>
    </row>
    <row r="182" spans="2:14">
      <c r="B182" s="34">
        <v>46053</v>
      </c>
      <c r="C182" s="20" t="s">
        <v>15</v>
      </c>
      <c r="D182" s="21" t="s">
        <v>369</v>
      </c>
      <c r="E182" s="22">
        <v>328.71</v>
      </c>
      <c r="F182" s="21" t="s">
        <v>17</v>
      </c>
      <c r="G182" s="21" t="s">
        <v>21</v>
      </c>
      <c r="H182" s="21" t="s">
        <v>370</v>
      </c>
      <c r="I182" s="34">
        <v>46053</v>
      </c>
      <c r="J182" s="22">
        <f t="shared" si="6"/>
        <v>328.71</v>
      </c>
      <c r="K182" s="22">
        <v>328.71</v>
      </c>
      <c r="L182" s="43">
        <f t="shared" si="5"/>
        <v>0</v>
      </c>
      <c r="M182" s="25"/>
      <c r="N182" s="31"/>
    </row>
    <row r="183" spans="2:14">
      <c r="B183" s="34">
        <v>46053</v>
      </c>
      <c r="C183" s="20" t="s">
        <v>15</v>
      </c>
      <c r="D183" s="21" t="s">
        <v>371</v>
      </c>
      <c r="E183" s="22">
        <v>202.99</v>
      </c>
      <c r="F183" s="21" t="s">
        <v>17</v>
      </c>
      <c r="G183" s="21" t="s">
        <v>21</v>
      </c>
      <c r="H183" s="21" t="s">
        <v>372</v>
      </c>
      <c r="I183" s="34">
        <v>46053</v>
      </c>
      <c r="J183" s="22">
        <f t="shared" si="6"/>
        <v>202.99</v>
      </c>
      <c r="K183" s="22">
        <v>202.99</v>
      </c>
      <c r="L183" s="43">
        <f t="shared" si="5"/>
        <v>0</v>
      </c>
      <c r="M183" s="25"/>
      <c r="N183" s="31"/>
    </row>
    <row r="184" spans="2:14">
      <c r="B184" s="84">
        <v>46053</v>
      </c>
      <c r="C184" s="73" t="s">
        <v>15</v>
      </c>
      <c r="D184" s="74" t="s">
        <v>373</v>
      </c>
      <c r="E184" s="75">
        <v>309.79</v>
      </c>
      <c r="F184" s="74" t="s">
        <v>29</v>
      </c>
      <c r="G184" s="74"/>
      <c r="H184" s="74" t="s">
        <v>374</v>
      </c>
      <c r="I184" s="84">
        <v>46053</v>
      </c>
      <c r="J184" s="75">
        <f t="shared" si="6"/>
        <v>309.79</v>
      </c>
      <c r="K184" s="75">
        <v>309.79</v>
      </c>
      <c r="L184" s="43">
        <f t="shared" si="5"/>
        <v>0</v>
      </c>
      <c r="M184" s="25"/>
      <c r="N184" s="70" t="s">
        <v>33</v>
      </c>
    </row>
    <row r="185" spans="2:14">
      <c r="B185" s="34">
        <v>46053</v>
      </c>
      <c r="C185" s="20" t="s">
        <v>15</v>
      </c>
      <c r="D185" s="21" t="s">
        <v>375</v>
      </c>
      <c r="E185" s="22">
        <v>103.7</v>
      </c>
      <c r="F185" s="21" t="s">
        <v>29</v>
      </c>
      <c r="G185" s="21"/>
      <c r="H185" s="21" t="s">
        <v>376</v>
      </c>
      <c r="I185" s="34">
        <v>46053</v>
      </c>
      <c r="J185" s="22">
        <f t="shared" si="6"/>
        <v>103.7</v>
      </c>
      <c r="K185" s="22">
        <v>103.7</v>
      </c>
      <c r="L185" s="43">
        <f t="shared" si="5"/>
        <v>0</v>
      </c>
      <c r="M185" s="25"/>
      <c r="N185" s="31"/>
    </row>
    <row r="186" spans="2:14">
      <c r="B186" s="34">
        <v>46053</v>
      </c>
      <c r="C186" s="20" t="s">
        <v>15</v>
      </c>
      <c r="D186" s="21" t="s">
        <v>377</v>
      </c>
      <c r="E186" s="22">
        <v>368.22</v>
      </c>
      <c r="F186" s="21" t="s">
        <v>29</v>
      </c>
      <c r="G186" s="21"/>
      <c r="H186" s="21" t="s">
        <v>378</v>
      </c>
      <c r="I186" s="34">
        <v>46053</v>
      </c>
      <c r="J186" s="22">
        <f t="shared" si="6"/>
        <v>368.22</v>
      </c>
      <c r="K186" s="22">
        <v>368.22</v>
      </c>
      <c r="L186" s="43">
        <f t="shared" si="5"/>
        <v>0</v>
      </c>
      <c r="M186" s="25"/>
      <c r="N186" s="31"/>
    </row>
    <row r="187" spans="2:14">
      <c r="B187" s="34">
        <v>46053</v>
      </c>
      <c r="C187" s="20" t="s">
        <v>15</v>
      </c>
      <c r="D187" s="21" t="s">
        <v>379</v>
      </c>
      <c r="E187" s="22">
        <v>654.16</v>
      </c>
      <c r="F187" s="21" t="s">
        <v>17</v>
      </c>
      <c r="G187" s="21" t="s">
        <v>21</v>
      </c>
      <c r="H187" s="21" t="s">
        <v>380</v>
      </c>
      <c r="I187" s="34">
        <v>46053</v>
      </c>
      <c r="J187" s="22">
        <f t="shared" ref="J187" si="7">E187</f>
        <v>654.16</v>
      </c>
      <c r="K187" s="22">
        <v>654.16</v>
      </c>
      <c r="L187" s="43">
        <f t="shared" si="5"/>
        <v>0</v>
      </c>
      <c r="M187" s="25"/>
      <c r="N187" s="31"/>
    </row>
    <row r="188" spans="2:14">
      <c r="B188" s="84">
        <v>46053</v>
      </c>
      <c r="C188" s="73" t="s">
        <v>15</v>
      </c>
      <c r="D188" s="74" t="s">
        <v>381</v>
      </c>
      <c r="E188" s="75">
        <v>521.12</v>
      </c>
      <c r="F188" s="74" t="s">
        <v>29</v>
      </c>
      <c r="G188" s="74"/>
      <c r="H188" s="74" t="s">
        <v>382</v>
      </c>
      <c r="I188" s="84">
        <v>46053</v>
      </c>
      <c r="J188" s="75">
        <f t="shared" si="6"/>
        <v>521.12</v>
      </c>
      <c r="K188" s="75">
        <v>521.12</v>
      </c>
      <c r="L188" s="43">
        <f t="shared" si="5"/>
        <v>0</v>
      </c>
      <c r="M188" s="25"/>
      <c r="N188" s="70" t="s">
        <v>23</v>
      </c>
    </row>
    <row r="189" spans="2:14">
      <c r="B189" s="34"/>
      <c r="C189" s="20"/>
      <c r="D189" s="21"/>
      <c r="E189" s="22"/>
      <c r="F189" s="21"/>
      <c r="G189" s="21"/>
      <c r="H189" s="21"/>
      <c r="I189" s="34"/>
      <c r="J189" s="22">
        <f t="shared" si="6"/>
        <v>0</v>
      </c>
      <c r="K189" s="22"/>
      <c r="L189" s="43">
        <f t="shared" si="5"/>
        <v>0</v>
      </c>
      <c r="M189" s="25"/>
      <c r="N189" s="31"/>
    </row>
    <row r="190" spans="2:14">
      <c r="B190" s="34"/>
      <c r="C190" s="20"/>
      <c r="D190" s="21"/>
      <c r="E190" s="22"/>
      <c r="F190" s="21"/>
      <c r="G190" s="21"/>
      <c r="H190" s="21"/>
      <c r="I190" s="34"/>
      <c r="J190" s="22">
        <f t="shared" si="6"/>
        <v>0</v>
      </c>
      <c r="K190" s="22"/>
      <c r="L190" s="43">
        <f t="shared" si="5"/>
        <v>0</v>
      </c>
      <c r="M190" s="25"/>
      <c r="N190" s="31"/>
    </row>
    <row r="191" spans="2:14">
      <c r="B191" s="34"/>
      <c r="C191" s="20"/>
      <c r="D191" s="21"/>
      <c r="E191" s="22"/>
      <c r="F191" s="21"/>
      <c r="G191" s="21"/>
      <c r="H191" s="21"/>
      <c r="I191" s="34"/>
      <c r="J191" s="22">
        <f t="shared" si="6"/>
        <v>0</v>
      </c>
      <c r="K191" s="22"/>
      <c r="L191" s="43">
        <f t="shared" si="5"/>
        <v>0</v>
      </c>
      <c r="M191" s="25"/>
      <c r="N191" s="31"/>
    </row>
    <row r="192" spans="2:14">
      <c r="B192" s="34"/>
      <c r="C192" s="20"/>
      <c r="D192" s="21"/>
      <c r="E192" s="22"/>
      <c r="F192" s="21"/>
      <c r="G192" s="21"/>
      <c r="H192" s="21"/>
      <c r="I192" s="34"/>
      <c r="J192" s="22">
        <f t="shared" si="6"/>
        <v>0</v>
      </c>
      <c r="K192" s="22"/>
      <c r="L192" s="43">
        <f t="shared" si="5"/>
        <v>0</v>
      </c>
      <c r="M192" s="25"/>
      <c r="N192" s="31"/>
    </row>
    <row r="193" spans="2:14">
      <c r="B193" s="34"/>
      <c r="C193" s="20"/>
      <c r="D193" s="21"/>
      <c r="E193" s="22"/>
      <c r="F193" s="21"/>
      <c r="G193" s="21"/>
      <c r="H193" s="21"/>
      <c r="I193" s="34"/>
      <c r="J193" s="22">
        <f t="shared" si="6"/>
        <v>0</v>
      </c>
      <c r="K193" s="22"/>
      <c r="L193" s="43">
        <f t="shared" si="5"/>
        <v>0</v>
      </c>
      <c r="M193" s="25"/>
      <c r="N193" s="31"/>
    </row>
    <row r="194" spans="2:14">
      <c r="B194" s="34"/>
      <c r="C194" s="20"/>
      <c r="D194" s="21"/>
      <c r="E194" s="22"/>
      <c r="F194" s="21"/>
      <c r="G194" s="21"/>
      <c r="H194" s="21"/>
      <c r="I194" s="34"/>
      <c r="J194" s="22">
        <f t="shared" si="6"/>
        <v>0</v>
      </c>
      <c r="K194" s="22"/>
      <c r="L194" s="43">
        <f t="shared" si="5"/>
        <v>0</v>
      </c>
      <c r="M194" s="25"/>
      <c r="N194" s="31"/>
    </row>
    <row r="195" spans="2:14">
      <c r="B195" s="34"/>
      <c r="C195" s="20"/>
      <c r="D195" s="21"/>
      <c r="E195" s="22"/>
      <c r="F195" s="21"/>
      <c r="G195" s="21"/>
      <c r="H195" s="21"/>
      <c r="I195" s="34"/>
      <c r="J195" s="22">
        <f t="shared" si="6"/>
        <v>0</v>
      </c>
      <c r="K195" s="22"/>
      <c r="L195" s="43">
        <f t="shared" si="5"/>
        <v>0</v>
      </c>
      <c r="M195" s="25"/>
      <c r="N195" s="31"/>
    </row>
    <row r="196" spans="2:14">
      <c r="B196" s="34"/>
      <c r="C196" s="20"/>
      <c r="D196" s="21"/>
      <c r="E196" s="22"/>
      <c r="F196" s="21"/>
      <c r="G196" s="21"/>
      <c r="H196" s="21"/>
      <c r="I196" s="34"/>
      <c r="J196" s="22">
        <f t="shared" si="6"/>
        <v>0</v>
      </c>
      <c r="K196" s="22"/>
      <c r="L196" s="43">
        <f t="shared" si="5"/>
        <v>0</v>
      </c>
      <c r="M196" s="25"/>
      <c r="N196" s="31"/>
    </row>
    <row r="197" spans="2:14">
      <c r="B197" s="34"/>
      <c r="C197" s="20"/>
      <c r="D197" s="21"/>
      <c r="E197" s="22"/>
      <c r="F197" s="21"/>
      <c r="G197" s="21"/>
      <c r="H197" s="21"/>
      <c r="I197" s="34"/>
      <c r="J197" s="22">
        <f t="shared" si="6"/>
        <v>0</v>
      </c>
      <c r="K197" s="22"/>
      <c r="L197" s="43">
        <f t="shared" si="5"/>
        <v>0</v>
      </c>
      <c r="M197" s="25"/>
      <c r="N197" s="31"/>
    </row>
    <row r="198" spans="2:14">
      <c r="B198" s="34"/>
      <c r="C198" s="20"/>
      <c r="D198" s="21"/>
      <c r="E198" s="22"/>
      <c r="F198" s="21"/>
      <c r="G198" s="21"/>
      <c r="H198" s="21"/>
      <c r="I198" s="34"/>
      <c r="J198" s="22">
        <f t="shared" si="6"/>
        <v>0</v>
      </c>
      <c r="K198" s="22"/>
      <c r="L198" s="43">
        <f t="shared" si="5"/>
        <v>0</v>
      </c>
      <c r="M198" s="25"/>
      <c r="N198" s="31"/>
    </row>
    <row r="199" spans="2:14">
      <c r="B199" s="34"/>
      <c r="C199" s="20"/>
      <c r="D199" s="21"/>
      <c r="E199" s="22"/>
      <c r="F199" s="21"/>
      <c r="G199" s="21"/>
      <c r="H199" s="21"/>
      <c r="I199" s="34"/>
      <c r="J199" s="22">
        <f t="shared" si="6"/>
        <v>0</v>
      </c>
      <c r="K199" s="22"/>
      <c r="L199" s="43">
        <f t="shared" si="5"/>
        <v>0</v>
      </c>
      <c r="M199" s="25"/>
      <c r="N199" s="31"/>
    </row>
    <row r="200" spans="2:14">
      <c r="B200" s="34"/>
      <c r="C200" s="20"/>
      <c r="D200" s="21"/>
      <c r="E200" s="22"/>
      <c r="F200" s="21"/>
      <c r="G200" s="21"/>
      <c r="H200" s="21"/>
      <c r="I200" s="34"/>
      <c r="J200" s="22">
        <f t="shared" si="6"/>
        <v>0</v>
      </c>
      <c r="K200" s="22"/>
      <c r="L200" s="43">
        <f t="shared" si="5"/>
        <v>0</v>
      </c>
      <c r="M200" s="25"/>
      <c r="N200" s="31"/>
    </row>
    <row r="201" spans="2:14">
      <c r="B201" s="34"/>
      <c r="C201" s="20"/>
      <c r="D201" s="21"/>
      <c r="E201" s="22"/>
      <c r="F201" s="21"/>
      <c r="G201" s="21"/>
      <c r="H201" s="21"/>
      <c r="I201" s="34"/>
      <c r="J201" s="22">
        <f t="shared" si="6"/>
        <v>0</v>
      </c>
      <c r="K201" s="22"/>
      <c r="L201" s="43">
        <f t="shared" si="5"/>
        <v>0</v>
      </c>
      <c r="M201" s="25"/>
      <c r="N201" s="31"/>
    </row>
    <row r="202" spans="2:14">
      <c r="B202" s="34"/>
      <c r="C202" s="20"/>
      <c r="D202" s="21"/>
      <c r="E202" s="22"/>
      <c r="F202" s="21"/>
      <c r="G202" s="21"/>
      <c r="H202" s="34"/>
      <c r="I202" s="34"/>
      <c r="J202" s="22">
        <f t="shared" si="6"/>
        <v>0</v>
      </c>
      <c r="K202" s="22"/>
      <c r="L202" s="43">
        <f t="shared" si="5"/>
        <v>0</v>
      </c>
      <c r="M202" s="25"/>
      <c r="N202" s="31"/>
    </row>
    <row r="203" spans="2:14">
      <c r="B203" s="34"/>
      <c r="C203" s="20"/>
      <c r="D203" s="21"/>
      <c r="E203" s="22"/>
      <c r="F203" s="21"/>
      <c r="G203" s="21"/>
      <c r="H203" s="21"/>
      <c r="I203" s="34"/>
      <c r="J203" s="22">
        <f t="shared" si="6"/>
        <v>0</v>
      </c>
      <c r="K203" s="22"/>
      <c r="L203" s="43">
        <f t="shared" si="5"/>
        <v>0</v>
      </c>
      <c r="M203" s="25"/>
      <c r="N203" s="31"/>
    </row>
    <row r="204" spans="2:14">
      <c r="B204" s="34"/>
      <c r="C204" s="20"/>
      <c r="D204" s="21"/>
      <c r="E204" s="22"/>
      <c r="F204" s="21"/>
      <c r="G204" s="21"/>
      <c r="H204" s="21"/>
      <c r="I204" s="34"/>
      <c r="J204" s="22">
        <f t="shared" si="6"/>
        <v>0</v>
      </c>
      <c r="K204" s="22"/>
      <c r="L204" s="43">
        <f t="shared" ref="L204:L263" si="8">J204-K204</f>
        <v>0</v>
      </c>
      <c r="M204" s="25"/>
      <c r="N204" s="31"/>
    </row>
    <row r="205" spans="2:14">
      <c r="B205" s="34"/>
      <c r="C205" s="20"/>
      <c r="D205" s="21"/>
      <c r="E205" s="22"/>
      <c r="F205" s="21"/>
      <c r="G205" s="21"/>
      <c r="H205" s="21"/>
      <c r="I205" s="34"/>
      <c r="J205" s="22">
        <f t="shared" si="6"/>
        <v>0</v>
      </c>
      <c r="K205" s="22"/>
      <c r="L205" s="43">
        <f t="shared" si="8"/>
        <v>0</v>
      </c>
      <c r="M205" s="25"/>
      <c r="N205" s="31"/>
    </row>
    <row r="206" spans="2:14">
      <c r="B206" s="34"/>
      <c r="C206" s="20"/>
      <c r="D206" s="21"/>
      <c r="E206" s="22"/>
      <c r="F206" s="21"/>
      <c r="G206" s="21"/>
      <c r="H206" s="21"/>
      <c r="I206" s="34"/>
      <c r="J206" s="22">
        <f t="shared" ref="J206:J266" si="9">E206</f>
        <v>0</v>
      </c>
      <c r="K206" s="22"/>
      <c r="L206" s="43">
        <f t="shared" si="8"/>
        <v>0</v>
      </c>
      <c r="M206" s="25"/>
      <c r="N206" s="31"/>
    </row>
    <row r="207" spans="2:14">
      <c r="B207" s="34"/>
      <c r="C207" s="20"/>
      <c r="D207" s="21"/>
      <c r="E207" s="22"/>
      <c r="F207" s="21"/>
      <c r="G207" s="21"/>
      <c r="H207" s="21"/>
      <c r="I207" s="34"/>
      <c r="J207" s="22">
        <f t="shared" si="9"/>
        <v>0</v>
      </c>
      <c r="K207" s="22"/>
      <c r="L207" s="43">
        <f t="shared" si="8"/>
        <v>0</v>
      </c>
      <c r="M207" s="25"/>
      <c r="N207" s="31"/>
    </row>
    <row r="208" spans="2:14">
      <c r="B208" s="34"/>
      <c r="C208" s="20"/>
      <c r="D208" s="21"/>
      <c r="E208" s="22"/>
      <c r="F208" s="21"/>
      <c r="G208" s="21"/>
      <c r="H208" s="21"/>
      <c r="I208" s="34"/>
      <c r="J208" s="22">
        <f t="shared" si="9"/>
        <v>0</v>
      </c>
      <c r="K208" s="22"/>
      <c r="L208" s="43">
        <f t="shared" si="8"/>
        <v>0</v>
      </c>
      <c r="M208" s="25"/>
      <c r="N208" s="31"/>
    </row>
    <row r="209" spans="2:14">
      <c r="B209" s="34"/>
      <c r="C209" s="20"/>
      <c r="D209" s="21"/>
      <c r="E209" s="22"/>
      <c r="F209" s="21"/>
      <c r="G209" s="21"/>
      <c r="H209" s="21"/>
      <c r="I209" s="34"/>
      <c r="J209" s="22">
        <f t="shared" si="9"/>
        <v>0</v>
      </c>
      <c r="K209" s="22"/>
      <c r="L209" s="43">
        <f t="shared" si="8"/>
        <v>0</v>
      </c>
      <c r="M209" s="25"/>
      <c r="N209" s="31"/>
    </row>
    <row r="210" spans="2:14">
      <c r="B210" s="34"/>
      <c r="C210" s="20"/>
      <c r="D210" s="21"/>
      <c r="E210" s="22"/>
      <c r="F210" s="21"/>
      <c r="G210" s="21"/>
      <c r="H210" s="21"/>
      <c r="I210" s="34"/>
      <c r="J210" s="22">
        <f t="shared" si="9"/>
        <v>0</v>
      </c>
      <c r="K210" s="22"/>
      <c r="L210" s="43">
        <f t="shared" si="8"/>
        <v>0</v>
      </c>
      <c r="M210" s="25"/>
      <c r="N210" s="31"/>
    </row>
    <row r="211" spans="2:14">
      <c r="B211" s="34"/>
      <c r="C211" s="20"/>
      <c r="D211" s="21"/>
      <c r="E211" s="22"/>
      <c r="F211" s="21"/>
      <c r="G211" s="21"/>
      <c r="H211" s="21"/>
      <c r="I211" s="34"/>
      <c r="J211" s="22">
        <f t="shared" si="9"/>
        <v>0</v>
      </c>
      <c r="K211" s="22"/>
      <c r="L211" s="43">
        <f t="shared" si="8"/>
        <v>0</v>
      </c>
      <c r="M211" s="25"/>
      <c r="N211" s="31"/>
    </row>
    <row r="212" spans="2:14">
      <c r="B212" s="34"/>
      <c r="C212" s="20"/>
      <c r="D212" s="21"/>
      <c r="E212" s="22"/>
      <c r="F212" s="21"/>
      <c r="G212" s="21"/>
      <c r="H212" s="21"/>
      <c r="I212" s="34"/>
      <c r="J212" s="22">
        <f t="shared" si="9"/>
        <v>0</v>
      </c>
      <c r="K212" s="22"/>
      <c r="L212" s="43">
        <f t="shared" si="8"/>
        <v>0</v>
      </c>
      <c r="M212" s="25"/>
      <c r="N212" s="31"/>
    </row>
    <row r="213" spans="2:14">
      <c r="B213" s="34"/>
      <c r="C213" s="20"/>
      <c r="D213" s="21"/>
      <c r="E213" s="22"/>
      <c r="F213" s="21"/>
      <c r="G213" s="21"/>
      <c r="H213" s="21"/>
      <c r="I213" s="34"/>
      <c r="J213" s="22">
        <f t="shared" si="9"/>
        <v>0</v>
      </c>
      <c r="K213" s="22"/>
      <c r="L213" s="43">
        <f t="shared" si="8"/>
        <v>0</v>
      </c>
      <c r="M213" s="25"/>
      <c r="N213" s="31"/>
    </row>
    <row r="214" spans="2:14">
      <c r="B214" s="34"/>
      <c r="C214" s="20"/>
      <c r="D214" s="21"/>
      <c r="E214" s="22"/>
      <c r="F214" s="21"/>
      <c r="G214" s="21"/>
      <c r="H214" s="21"/>
      <c r="I214" s="34"/>
      <c r="J214" s="22">
        <f t="shared" si="9"/>
        <v>0</v>
      </c>
      <c r="K214" s="22"/>
      <c r="L214" s="43">
        <f t="shared" si="8"/>
        <v>0</v>
      </c>
      <c r="M214" s="25"/>
      <c r="N214" s="31"/>
    </row>
    <row r="215" spans="2:14">
      <c r="B215" s="34"/>
      <c r="C215" s="20"/>
      <c r="D215" s="21"/>
      <c r="E215" s="40"/>
      <c r="F215" s="40"/>
      <c r="G215" s="40"/>
      <c r="H215" s="40"/>
      <c r="I215" s="34"/>
      <c r="J215" s="22">
        <f t="shared" si="9"/>
        <v>0</v>
      </c>
      <c r="K215" s="40"/>
      <c r="L215" s="43">
        <f t="shared" si="8"/>
        <v>0</v>
      </c>
      <c r="M215" s="41"/>
      <c r="N215" s="42"/>
    </row>
    <row r="216" spans="2:14">
      <c r="B216" s="34"/>
      <c r="C216" s="20"/>
      <c r="D216" s="21"/>
      <c r="E216" s="40"/>
      <c r="F216" s="40"/>
      <c r="G216" s="40"/>
      <c r="H216" s="40"/>
      <c r="I216" s="34"/>
      <c r="J216" s="22">
        <f t="shared" si="9"/>
        <v>0</v>
      </c>
      <c r="K216" s="40"/>
      <c r="L216" s="43">
        <f t="shared" si="8"/>
        <v>0</v>
      </c>
      <c r="M216" s="41"/>
      <c r="N216" s="42"/>
    </row>
    <row r="217" spans="2:14">
      <c r="B217" s="34"/>
      <c r="C217" s="20"/>
      <c r="D217" s="40"/>
      <c r="E217" s="40"/>
      <c r="F217" s="21"/>
      <c r="G217" s="21"/>
      <c r="H217" s="40"/>
      <c r="I217" s="34"/>
      <c r="J217" s="22">
        <f t="shared" si="9"/>
        <v>0</v>
      </c>
      <c r="K217" s="40"/>
      <c r="L217" s="43">
        <f t="shared" si="8"/>
        <v>0</v>
      </c>
      <c r="M217" s="41"/>
      <c r="N217" s="42"/>
    </row>
    <row r="218" spans="2:14">
      <c r="B218" s="34"/>
      <c r="C218" s="20"/>
      <c r="D218" s="21"/>
      <c r="E218" s="22"/>
      <c r="F218" s="21"/>
      <c r="G218" s="21"/>
      <c r="H218" s="21"/>
      <c r="I218" s="34"/>
      <c r="J218" s="22">
        <f t="shared" si="9"/>
        <v>0</v>
      </c>
      <c r="K218" s="22"/>
      <c r="L218" s="43">
        <f t="shared" si="8"/>
        <v>0</v>
      </c>
      <c r="M218" s="25"/>
      <c r="N218" s="31"/>
    </row>
    <row r="219" spans="2:14">
      <c r="B219" s="34"/>
      <c r="C219" s="20"/>
      <c r="D219" s="21"/>
      <c r="E219" s="22"/>
      <c r="F219" s="21"/>
      <c r="G219" s="21"/>
      <c r="H219" s="21"/>
      <c r="I219" s="34"/>
      <c r="J219" s="22">
        <f t="shared" si="9"/>
        <v>0</v>
      </c>
      <c r="K219" s="22"/>
      <c r="L219" s="43">
        <f t="shared" si="8"/>
        <v>0</v>
      </c>
      <c r="M219" s="25"/>
      <c r="N219" s="31"/>
    </row>
    <row r="220" spans="2:14">
      <c r="B220" s="34"/>
      <c r="C220" s="20"/>
      <c r="D220" s="21"/>
      <c r="E220" s="22"/>
      <c r="F220" s="21"/>
      <c r="G220" s="21"/>
      <c r="H220" s="21"/>
      <c r="I220" s="34"/>
      <c r="J220" s="22">
        <f t="shared" si="9"/>
        <v>0</v>
      </c>
      <c r="K220" s="22"/>
      <c r="L220" s="43">
        <f t="shared" si="8"/>
        <v>0</v>
      </c>
      <c r="M220" s="25"/>
      <c r="N220" s="31"/>
    </row>
    <row r="221" spans="2:14">
      <c r="B221" s="34"/>
      <c r="C221" s="20"/>
      <c r="D221" s="21"/>
      <c r="E221" s="22"/>
      <c r="F221" s="21"/>
      <c r="G221" s="21"/>
      <c r="H221" s="21"/>
      <c r="I221" s="34"/>
      <c r="J221" s="22">
        <f t="shared" si="9"/>
        <v>0</v>
      </c>
      <c r="K221" s="22"/>
      <c r="L221" s="43">
        <f t="shared" si="8"/>
        <v>0</v>
      </c>
      <c r="M221" s="25"/>
      <c r="N221" s="24"/>
    </row>
    <row r="222" spans="2:14">
      <c r="B222" s="34"/>
      <c r="C222" s="20"/>
      <c r="D222" s="21"/>
      <c r="E222" s="22"/>
      <c r="F222" s="21"/>
      <c r="G222" s="21"/>
      <c r="H222" s="21"/>
      <c r="I222" s="34"/>
      <c r="J222" s="22">
        <f t="shared" si="9"/>
        <v>0</v>
      </c>
      <c r="K222" s="22"/>
      <c r="L222" s="43">
        <f t="shared" si="8"/>
        <v>0</v>
      </c>
      <c r="M222" s="25"/>
      <c r="N222" s="42"/>
    </row>
    <row r="223" spans="2:14">
      <c r="B223" s="34"/>
      <c r="C223" s="20"/>
      <c r="D223" s="21"/>
      <c r="E223" s="22"/>
      <c r="F223" s="21"/>
      <c r="G223" s="21"/>
      <c r="H223" s="21"/>
      <c r="I223" s="34"/>
      <c r="J223" s="22">
        <f t="shared" si="9"/>
        <v>0</v>
      </c>
      <c r="K223" s="22"/>
      <c r="L223" s="43">
        <f t="shared" si="8"/>
        <v>0</v>
      </c>
      <c r="M223" s="25"/>
      <c r="N223" s="42"/>
    </row>
    <row r="224" spans="2:14">
      <c r="B224" s="34"/>
      <c r="C224" s="20"/>
      <c r="D224" s="21"/>
      <c r="E224" s="22"/>
      <c r="F224" s="21"/>
      <c r="G224" s="21"/>
      <c r="H224" s="21"/>
      <c r="I224" s="34"/>
      <c r="J224" s="22">
        <f t="shared" si="9"/>
        <v>0</v>
      </c>
      <c r="K224" s="22"/>
      <c r="L224" s="43">
        <f t="shared" si="8"/>
        <v>0</v>
      </c>
      <c r="M224" s="25"/>
      <c r="N224" s="31"/>
    </row>
    <row r="225" spans="2:14">
      <c r="B225" s="34"/>
      <c r="C225" s="20"/>
      <c r="D225" s="21"/>
      <c r="E225" s="22"/>
      <c r="F225" s="21"/>
      <c r="G225" s="21"/>
      <c r="H225" s="21"/>
      <c r="I225" s="34"/>
      <c r="J225" s="22">
        <f t="shared" si="9"/>
        <v>0</v>
      </c>
      <c r="K225" s="22"/>
      <c r="L225" s="43">
        <f t="shared" si="8"/>
        <v>0</v>
      </c>
      <c r="M225" s="25"/>
      <c r="N225" s="31"/>
    </row>
    <row r="226" spans="2:14">
      <c r="B226" s="34"/>
      <c r="C226" s="20"/>
      <c r="D226" s="21"/>
      <c r="E226" s="22"/>
      <c r="F226" s="21"/>
      <c r="G226" s="21"/>
      <c r="H226" s="21"/>
      <c r="I226" s="21"/>
      <c r="J226" s="22">
        <f t="shared" si="9"/>
        <v>0</v>
      </c>
      <c r="K226" s="22"/>
      <c r="L226" s="43">
        <f t="shared" si="8"/>
        <v>0</v>
      </c>
      <c r="M226" s="25"/>
      <c r="N226" s="31"/>
    </row>
    <row r="227" spans="2:14">
      <c r="B227" s="34"/>
      <c r="C227" s="20"/>
      <c r="D227" s="21"/>
      <c r="E227" s="22"/>
      <c r="F227" s="21"/>
      <c r="G227" s="21"/>
      <c r="H227" s="21"/>
      <c r="I227" s="21"/>
      <c r="J227" s="22">
        <f t="shared" si="9"/>
        <v>0</v>
      </c>
      <c r="K227" s="22"/>
      <c r="L227" s="43">
        <f t="shared" si="8"/>
        <v>0</v>
      </c>
      <c r="M227" s="25"/>
      <c r="N227" s="24"/>
    </row>
    <row r="228" spans="2:14">
      <c r="B228" s="34"/>
      <c r="C228" s="20"/>
      <c r="D228" s="21"/>
      <c r="E228" s="22"/>
      <c r="F228" s="21"/>
      <c r="G228" s="21"/>
      <c r="H228" s="21"/>
      <c r="I228" s="21"/>
      <c r="J228" s="22">
        <f t="shared" si="9"/>
        <v>0</v>
      </c>
      <c r="K228" s="22"/>
      <c r="L228" s="43">
        <f t="shared" si="8"/>
        <v>0</v>
      </c>
      <c r="M228" s="25"/>
      <c r="N228" s="24"/>
    </row>
    <row r="229" spans="2:14">
      <c r="B229" s="34"/>
      <c r="C229" s="20"/>
      <c r="D229" s="21"/>
      <c r="E229" s="22"/>
      <c r="F229" s="21"/>
      <c r="G229" s="21"/>
      <c r="H229" s="21"/>
      <c r="I229" s="21"/>
      <c r="J229" s="22">
        <f t="shared" si="9"/>
        <v>0</v>
      </c>
      <c r="K229" s="22"/>
      <c r="L229" s="43">
        <f t="shared" si="8"/>
        <v>0</v>
      </c>
      <c r="M229" s="25"/>
      <c r="N229" s="24"/>
    </row>
    <row r="230" spans="2:14">
      <c r="B230" s="34"/>
      <c r="C230" s="20"/>
      <c r="D230" s="21"/>
      <c r="E230" s="22"/>
      <c r="F230" s="21"/>
      <c r="G230" s="21"/>
      <c r="H230" s="21"/>
      <c r="I230" s="21"/>
      <c r="J230" s="22">
        <f t="shared" si="9"/>
        <v>0</v>
      </c>
      <c r="K230" s="22"/>
      <c r="L230" s="43">
        <f t="shared" si="8"/>
        <v>0</v>
      </c>
      <c r="M230" s="25"/>
      <c r="N230" s="31"/>
    </row>
    <row r="231" spans="2:14">
      <c r="B231" s="34"/>
      <c r="C231" s="20"/>
      <c r="D231" s="21"/>
      <c r="E231" s="22"/>
      <c r="F231" s="21"/>
      <c r="G231" s="21"/>
      <c r="H231" s="21"/>
      <c r="I231" s="21"/>
      <c r="J231" s="22">
        <f t="shared" si="9"/>
        <v>0</v>
      </c>
      <c r="K231" s="22"/>
      <c r="L231" s="43">
        <f t="shared" si="8"/>
        <v>0</v>
      </c>
      <c r="M231" s="25"/>
      <c r="N231" s="24"/>
    </row>
    <row r="232" spans="2:14">
      <c r="B232" s="34"/>
      <c r="C232" s="20"/>
      <c r="D232" s="21"/>
      <c r="E232" s="22"/>
      <c r="F232" s="21"/>
      <c r="G232" s="21"/>
      <c r="H232" s="21"/>
      <c r="I232" s="21"/>
      <c r="J232" s="22">
        <f t="shared" si="9"/>
        <v>0</v>
      </c>
      <c r="K232" s="22"/>
      <c r="L232" s="43">
        <f t="shared" si="8"/>
        <v>0</v>
      </c>
      <c r="M232" s="25"/>
      <c r="N232" s="24"/>
    </row>
    <row r="233" spans="2:14">
      <c r="B233" s="34"/>
      <c r="C233" s="20"/>
      <c r="D233" s="21"/>
      <c r="E233" s="22"/>
      <c r="F233" s="21"/>
      <c r="G233" s="21"/>
      <c r="H233" s="21"/>
      <c r="I233" s="21"/>
      <c r="J233" s="22">
        <f t="shared" si="9"/>
        <v>0</v>
      </c>
      <c r="K233" s="22"/>
      <c r="L233" s="43">
        <f t="shared" si="8"/>
        <v>0</v>
      </c>
      <c r="M233" s="25"/>
      <c r="N233" s="24"/>
    </row>
    <row r="234" spans="2:14">
      <c r="B234" s="34"/>
      <c r="C234" s="20"/>
      <c r="D234" s="21"/>
      <c r="E234" s="22"/>
      <c r="F234" s="21"/>
      <c r="G234" s="21"/>
      <c r="H234" s="21"/>
      <c r="I234" s="21"/>
      <c r="J234" s="22">
        <f t="shared" si="9"/>
        <v>0</v>
      </c>
      <c r="K234" s="22"/>
      <c r="L234" s="43">
        <f t="shared" si="8"/>
        <v>0</v>
      </c>
      <c r="M234" s="25"/>
      <c r="N234" s="24"/>
    </row>
    <row r="235" spans="2:14">
      <c r="B235" s="34"/>
      <c r="C235" s="21"/>
      <c r="D235" s="21"/>
      <c r="E235" s="22"/>
      <c r="F235" s="21"/>
      <c r="G235" s="21"/>
      <c r="H235" s="21"/>
      <c r="I235" s="21"/>
      <c r="J235" s="22">
        <f t="shared" si="9"/>
        <v>0</v>
      </c>
      <c r="K235" s="22"/>
      <c r="L235" s="43">
        <f t="shared" si="8"/>
        <v>0</v>
      </c>
      <c r="M235" s="25"/>
      <c r="N235" s="24"/>
    </row>
    <row r="236" spans="2:14">
      <c r="B236" s="34"/>
      <c r="C236" s="21"/>
      <c r="D236" s="21"/>
      <c r="E236" s="22"/>
      <c r="F236" s="21"/>
      <c r="G236" s="21"/>
      <c r="H236" s="21"/>
      <c r="I236" s="21"/>
      <c r="J236" s="22">
        <f t="shared" si="9"/>
        <v>0</v>
      </c>
      <c r="K236" s="22"/>
      <c r="L236" s="43">
        <f t="shared" si="8"/>
        <v>0</v>
      </c>
      <c r="M236" s="25"/>
      <c r="N236" s="24"/>
    </row>
    <row r="237" spans="2:14">
      <c r="B237" s="34"/>
      <c r="C237" s="21"/>
      <c r="D237" s="21"/>
      <c r="E237" s="22"/>
      <c r="F237" s="21"/>
      <c r="G237" s="21"/>
      <c r="H237" s="21"/>
      <c r="I237" s="21"/>
      <c r="J237" s="22">
        <f t="shared" si="9"/>
        <v>0</v>
      </c>
      <c r="K237" s="22"/>
      <c r="L237" s="43">
        <f t="shared" si="8"/>
        <v>0</v>
      </c>
      <c r="M237" s="25"/>
      <c r="N237" s="24"/>
    </row>
    <row r="238" spans="2:14">
      <c r="B238" s="34"/>
      <c r="C238" s="21"/>
      <c r="D238" s="21"/>
      <c r="E238" s="22"/>
      <c r="F238" s="21"/>
      <c r="G238" s="21"/>
      <c r="H238" s="21"/>
      <c r="I238" s="21"/>
      <c r="J238" s="22">
        <f t="shared" si="9"/>
        <v>0</v>
      </c>
      <c r="K238" s="22"/>
      <c r="L238" s="43">
        <f t="shared" si="8"/>
        <v>0</v>
      </c>
      <c r="M238" s="25"/>
      <c r="N238" s="24"/>
    </row>
    <row r="239" spans="2:14">
      <c r="B239" s="34"/>
      <c r="C239" s="21"/>
      <c r="D239" s="21"/>
      <c r="E239" s="22"/>
      <c r="F239" s="21"/>
      <c r="G239" s="21"/>
      <c r="H239" s="21"/>
      <c r="I239" s="21"/>
      <c r="J239" s="22">
        <f t="shared" si="9"/>
        <v>0</v>
      </c>
      <c r="K239" s="22"/>
      <c r="L239" s="43">
        <f t="shared" si="8"/>
        <v>0</v>
      </c>
      <c r="M239" s="25"/>
      <c r="N239" s="24"/>
    </row>
    <row r="240" spans="2:14">
      <c r="B240" s="34"/>
      <c r="C240" s="21"/>
      <c r="D240" s="21"/>
      <c r="E240" s="22"/>
      <c r="F240" s="21"/>
      <c r="G240" s="21"/>
      <c r="H240" s="21"/>
      <c r="I240" s="21"/>
      <c r="J240" s="22">
        <f t="shared" si="9"/>
        <v>0</v>
      </c>
      <c r="K240" s="22"/>
      <c r="L240" s="43">
        <f t="shared" si="8"/>
        <v>0</v>
      </c>
      <c r="M240" s="25"/>
      <c r="N240" s="24"/>
    </row>
    <row r="241" spans="2:14">
      <c r="B241" s="34"/>
      <c r="C241" s="21"/>
      <c r="D241" s="21"/>
      <c r="E241" s="22"/>
      <c r="F241" s="21"/>
      <c r="G241" s="21"/>
      <c r="H241" s="21"/>
      <c r="I241" s="21"/>
      <c r="J241" s="22">
        <f t="shared" si="9"/>
        <v>0</v>
      </c>
      <c r="K241" s="22"/>
      <c r="L241" s="43">
        <f t="shared" si="8"/>
        <v>0</v>
      </c>
      <c r="M241" s="25"/>
      <c r="N241" s="24"/>
    </row>
    <row r="242" spans="2:14">
      <c r="B242" s="34"/>
      <c r="C242" s="21"/>
      <c r="D242" s="21"/>
      <c r="E242" s="22"/>
      <c r="F242" s="21"/>
      <c r="G242" s="21"/>
      <c r="H242" s="21"/>
      <c r="I242" s="21"/>
      <c r="J242" s="22">
        <f t="shared" si="9"/>
        <v>0</v>
      </c>
      <c r="K242" s="22"/>
      <c r="L242" s="43">
        <f t="shared" si="8"/>
        <v>0</v>
      </c>
      <c r="M242" s="25"/>
      <c r="N242" s="24"/>
    </row>
    <row r="243" spans="2:14">
      <c r="B243" s="34"/>
      <c r="C243" s="21"/>
      <c r="D243" s="21"/>
      <c r="E243" s="22"/>
      <c r="F243" s="21"/>
      <c r="G243" s="21"/>
      <c r="H243" s="21"/>
      <c r="I243" s="21"/>
      <c r="J243" s="22">
        <f t="shared" si="9"/>
        <v>0</v>
      </c>
      <c r="K243" s="22"/>
      <c r="L243" s="43">
        <f t="shared" si="8"/>
        <v>0</v>
      </c>
      <c r="M243" s="25"/>
      <c r="N243" s="24"/>
    </row>
    <row r="244" spans="2:14">
      <c r="B244" s="34"/>
      <c r="C244" s="21"/>
      <c r="D244" s="21"/>
      <c r="E244" s="22"/>
      <c r="F244" s="21"/>
      <c r="G244" s="21"/>
      <c r="H244" s="21"/>
      <c r="I244" s="21"/>
      <c r="J244" s="22">
        <f t="shared" si="9"/>
        <v>0</v>
      </c>
      <c r="K244" s="22"/>
      <c r="L244" s="43">
        <f t="shared" si="8"/>
        <v>0</v>
      </c>
      <c r="M244" s="25"/>
      <c r="N244" s="24"/>
    </row>
    <row r="245" spans="2:14">
      <c r="B245" s="34"/>
      <c r="C245" s="21"/>
      <c r="D245" s="21"/>
      <c r="E245" s="22"/>
      <c r="F245" s="21"/>
      <c r="G245" s="21"/>
      <c r="H245" s="21"/>
      <c r="I245" s="21"/>
      <c r="J245" s="22">
        <f t="shared" si="9"/>
        <v>0</v>
      </c>
      <c r="K245" s="22"/>
      <c r="L245" s="43">
        <f t="shared" si="8"/>
        <v>0</v>
      </c>
      <c r="M245" s="25"/>
      <c r="N245" s="24"/>
    </row>
    <row r="246" spans="2:14">
      <c r="B246" s="34"/>
      <c r="C246" s="21"/>
      <c r="D246" s="21"/>
      <c r="E246" s="22"/>
      <c r="F246" s="21"/>
      <c r="G246" s="21"/>
      <c r="H246" s="21"/>
      <c r="I246" s="21"/>
      <c r="J246" s="22">
        <f t="shared" si="9"/>
        <v>0</v>
      </c>
      <c r="K246" s="22"/>
      <c r="L246" s="43">
        <f t="shared" si="8"/>
        <v>0</v>
      </c>
      <c r="M246" s="25"/>
      <c r="N246" s="24"/>
    </row>
    <row r="247" spans="2:14">
      <c r="B247" s="34"/>
      <c r="C247" s="21"/>
      <c r="D247" s="21"/>
      <c r="E247" s="22"/>
      <c r="F247" s="21"/>
      <c r="G247" s="21"/>
      <c r="H247" s="21"/>
      <c r="I247" s="21"/>
      <c r="J247" s="22">
        <f t="shared" si="9"/>
        <v>0</v>
      </c>
      <c r="K247" s="22"/>
      <c r="L247" s="43">
        <f t="shared" si="8"/>
        <v>0</v>
      </c>
      <c r="M247" s="25"/>
      <c r="N247" s="24"/>
    </row>
    <row r="248" spans="2:14">
      <c r="B248" s="34"/>
      <c r="C248" s="21"/>
      <c r="D248" s="21"/>
      <c r="E248" s="22"/>
      <c r="F248" s="21"/>
      <c r="G248" s="21"/>
      <c r="H248" s="21"/>
      <c r="I248" s="21"/>
      <c r="J248" s="22">
        <f t="shared" si="9"/>
        <v>0</v>
      </c>
      <c r="K248" s="22"/>
      <c r="L248" s="43">
        <f t="shared" si="8"/>
        <v>0</v>
      </c>
      <c r="M248" s="25"/>
      <c r="N248" s="24"/>
    </row>
    <row r="249" spans="2:14">
      <c r="B249" s="34"/>
      <c r="C249" s="21"/>
      <c r="D249" s="21"/>
      <c r="E249" s="22"/>
      <c r="F249" s="21"/>
      <c r="G249" s="21"/>
      <c r="H249" s="21"/>
      <c r="I249" s="21"/>
      <c r="J249" s="22">
        <f t="shared" si="9"/>
        <v>0</v>
      </c>
      <c r="K249" s="22"/>
      <c r="L249" s="43">
        <f t="shared" si="8"/>
        <v>0</v>
      </c>
      <c r="M249" s="25"/>
      <c r="N249" s="24"/>
    </row>
    <row r="250" spans="2:14">
      <c r="B250" s="34"/>
      <c r="C250" s="21"/>
      <c r="D250" s="21"/>
      <c r="E250" s="22"/>
      <c r="F250" s="21"/>
      <c r="G250" s="21"/>
      <c r="H250" s="21"/>
      <c r="I250" s="21"/>
      <c r="J250" s="22">
        <f t="shared" si="9"/>
        <v>0</v>
      </c>
      <c r="K250" s="22"/>
      <c r="L250" s="43">
        <f t="shared" si="8"/>
        <v>0</v>
      </c>
      <c r="M250" s="25"/>
      <c r="N250" s="24"/>
    </row>
    <row r="251" spans="2:14">
      <c r="B251" s="34"/>
      <c r="C251" s="21"/>
      <c r="D251" s="21"/>
      <c r="E251" s="22"/>
      <c r="F251" s="21"/>
      <c r="G251" s="21"/>
      <c r="H251" s="21"/>
      <c r="I251" s="21"/>
      <c r="J251" s="22">
        <f t="shared" si="9"/>
        <v>0</v>
      </c>
      <c r="K251" s="22"/>
      <c r="L251" s="43">
        <f t="shared" si="8"/>
        <v>0</v>
      </c>
      <c r="M251" s="25"/>
      <c r="N251" s="24"/>
    </row>
    <row r="252" spans="2:14">
      <c r="B252" s="34"/>
      <c r="C252" s="21"/>
      <c r="D252" s="21"/>
      <c r="E252" s="22"/>
      <c r="F252" s="21"/>
      <c r="G252" s="21"/>
      <c r="H252" s="21"/>
      <c r="I252" s="21"/>
      <c r="J252" s="22">
        <f t="shared" si="9"/>
        <v>0</v>
      </c>
      <c r="K252" s="22"/>
      <c r="L252" s="43">
        <f t="shared" si="8"/>
        <v>0</v>
      </c>
      <c r="M252" s="25"/>
      <c r="N252" s="24"/>
    </row>
    <row r="253" spans="2:14">
      <c r="B253" s="34"/>
      <c r="C253" s="21"/>
      <c r="D253" s="21"/>
      <c r="E253" s="22"/>
      <c r="F253" s="21"/>
      <c r="G253" s="21"/>
      <c r="H253" s="21"/>
      <c r="I253" s="21"/>
      <c r="J253" s="22">
        <f t="shared" si="9"/>
        <v>0</v>
      </c>
      <c r="K253" s="22"/>
      <c r="L253" s="43">
        <f t="shared" si="8"/>
        <v>0</v>
      </c>
      <c r="M253" s="25"/>
      <c r="N253" s="24"/>
    </row>
    <row r="254" spans="2:14">
      <c r="B254" s="34"/>
      <c r="C254" s="21"/>
      <c r="D254" s="21"/>
      <c r="E254" s="22"/>
      <c r="F254" s="21"/>
      <c r="G254" s="21"/>
      <c r="H254" s="21"/>
      <c r="I254" s="21"/>
      <c r="J254" s="22">
        <f t="shared" si="9"/>
        <v>0</v>
      </c>
      <c r="K254" s="22"/>
      <c r="L254" s="43">
        <f t="shared" si="8"/>
        <v>0</v>
      </c>
      <c r="M254" s="25"/>
      <c r="N254" s="24"/>
    </row>
    <row r="255" spans="2:14">
      <c r="B255" s="34"/>
      <c r="C255" s="21"/>
      <c r="D255" s="21"/>
      <c r="E255" s="22"/>
      <c r="F255" s="21"/>
      <c r="G255" s="21"/>
      <c r="H255" s="21"/>
      <c r="I255" s="21"/>
      <c r="J255" s="22">
        <f t="shared" si="9"/>
        <v>0</v>
      </c>
      <c r="K255" s="22"/>
      <c r="L255" s="43">
        <f t="shared" si="8"/>
        <v>0</v>
      </c>
      <c r="M255" s="25"/>
      <c r="N255" s="24"/>
    </row>
    <row r="256" spans="2:14">
      <c r="B256" s="34"/>
      <c r="C256" s="21"/>
      <c r="D256" s="21"/>
      <c r="E256" s="22"/>
      <c r="F256" s="21"/>
      <c r="G256" s="21"/>
      <c r="H256" s="21"/>
      <c r="I256" s="21"/>
      <c r="J256" s="22">
        <f t="shared" si="9"/>
        <v>0</v>
      </c>
      <c r="K256" s="22"/>
      <c r="L256" s="43">
        <f t="shared" si="8"/>
        <v>0</v>
      </c>
      <c r="M256" s="25"/>
      <c r="N256" s="24"/>
    </row>
    <row r="257" spans="2:14">
      <c r="B257" s="34"/>
      <c r="C257" s="21"/>
      <c r="D257" s="21"/>
      <c r="E257" s="22"/>
      <c r="F257" s="21"/>
      <c r="G257" s="21"/>
      <c r="H257" s="21"/>
      <c r="I257" s="21"/>
      <c r="J257" s="22">
        <f t="shared" si="9"/>
        <v>0</v>
      </c>
      <c r="K257" s="22"/>
      <c r="L257" s="43">
        <f t="shared" si="8"/>
        <v>0</v>
      </c>
      <c r="M257" s="25"/>
      <c r="N257" s="24"/>
    </row>
    <row r="258" spans="2:14">
      <c r="B258" s="34"/>
      <c r="C258" s="21"/>
      <c r="D258" s="21"/>
      <c r="E258" s="22"/>
      <c r="F258" s="21"/>
      <c r="G258" s="21"/>
      <c r="H258" s="21"/>
      <c r="I258" s="21"/>
      <c r="J258" s="22">
        <f t="shared" si="9"/>
        <v>0</v>
      </c>
      <c r="K258" s="22"/>
      <c r="L258" s="43">
        <f t="shared" si="8"/>
        <v>0</v>
      </c>
      <c r="M258" s="25"/>
      <c r="N258" s="24"/>
    </row>
    <row r="259" spans="2:14">
      <c r="B259" s="34"/>
      <c r="C259" s="21"/>
      <c r="D259" s="21"/>
      <c r="E259" s="22"/>
      <c r="F259" s="21"/>
      <c r="G259" s="21"/>
      <c r="H259" s="21"/>
      <c r="I259" s="21"/>
      <c r="J259" s="22">
        <f t="shared" si="9"/>
        <v>0</v>
      </c>
      <c r="K259" s="22"/>
      <c r="L259" s="43">
        <f t="shared" si="8"/>
        <v>0</v>
      </c>
      <c r="M259" s="25"/>
      <c r="N259" s="24"/>
    </row>
    <row r="260" spans="2:14">
      <c r="B260" s="34"/>
      <c r="C260" s="21"/>
      <c r="D260" s="21"/>
      <c r="E260" s="22"/>
      <c r="F260" s="21"/>
      <c r="G260" s="21"/>
      <c r="H260" s="21"/>
      <c r="I260" s="21"/>
      <c r="J260" s="22">
        <f t="shared" si="9"/>
        <v>0</v>
      </c>
      <c r="K260" s="22"/>
      <c r="L260" s="43">
        <f t="shared" si="8"/>
        <v>0</v>
      </c>
      <c r="M260" s="25"/>
      <c r="N260" s="24"/>
    </row>
    <row r="261" spans="2:14">
      <c r="B261" s="34"/>
      <c r="C261" s="21"/>
      <c r="D261" s="21"/>
      <c r="E261" s="22"/>
      <c r="F261" s="21"/>
      <c r="G261" s="21"/>
      <c r="H261" s="21"/>
      <c r="I261" s="21"/>
      <c r="J261" s="22">
        <f t="shared" si="9"/>
        <v>0</v>
      </c>
      <c r="K261" s="22"/>
      <c r="L261" s="43">
        <f t="shared" si="8"/>
        <v>0</v>
      </c>
      <c r="M261" s="25"/>
      <c r="N261" s="24"/>
    </row>
    <row r="262" spans="2:14">
      <c r="B262" s="34"/>
      <c r="C262" s="21"/>
      <c r="D262" s="21"/>
      <c r="E262" s="22"/>
      <c r="F262" s="21"/>
      <c r="G262" s="21"/>
      <c r="H262" s="21"/>
      <c r="I262" s="21"/>
      <c r="J262" s="22">
        <f t="shared" si="9"/>
        <v>0</v>
      </c>
      <c r="K262" s="22"/>
      <c r="L262" s="43">
        <f t="shared" si="8"/>
        <v>0</v>
      </c>
      <c r="M262" s="25"/>
      <c r="N262" s="24"/>
    </row>
    <row r="263" spans="2:14">
      <c r="B263" s="34"/>
      <c r="C263" s="21"/>
      <c r="D263" s="21"/>
      <c r="E263" s="22"/>
      <c r="F263" s="21"/>
      <c r="G263" s="21"/>
      <c r="H263" s="21"/>
      <c r="I263" s="21"/>
      <c r="J263" s="22">
        <f t="shared" si="9"/>
        <v>0</v>
      </c>
      <c r="K263" s="22"/>
      <c r="L263" s="43">
        <f t="shared" si="8"/>
        <v>0</v>
      </c>
      <c r="M263" s="25"/>
      <c r="N263" s="24"/>
    </row>
    <row r="264" spans="2:14">
      <c r="B264" s="34"/>
      <c r="C264" s="21"/>
      <c r="D264" s="21"/>
      <c r="E264" s="22"/>
      <c r="F264" s="21"/>
      <c r="G264" s="21"/>
      <c r="H264" s="21"/>
      <c r="I264" s="21"/>
      <c r="J264" s="22">
        <f t="shared" si="9"/>
        <v>0</v>
      </c>
      <c r="K264" s="22"/>
      <c r="L264" s="43">
        <f t="shared" ref="L264:L267" si="10">J264-K264</f>
        <v>0</v>
      </c>
      <c r="M264" s="25"/>
      <c r="N264" s="24"/>
    </row>
    <row r="265" spans="2:14">
      <c r="B265" s="34"/>
      <c r="C265" s="21"/>
      <c r="D265" s="21"/>
      <c r="E265" s="22"/>
      <c r="F265" s="21"/>
      <c r="G265" s="21"/>
      <c r="H265" s="21"/>
      <c r="I265" s="21"/>
      <c r="J265" s="22">
        <f t="shared" si="9"/>
        <v>0</v>
      </c>
      <c r="K265" s="22"/>
      <c r="L265" s="43">
        <f t="shared" si="10"/>
        <v>0</v>
      </c>
      <c r="M265" s="25"/>
      <c r="N265" s="24"/>
    </row>
    <row r="266" spans="2:14">
      <c r="B266" s="44"/>
      <c r="C266" s="21"/>
      <c r="D266" s="21"/>
      <c r="E266" s="22"/>
      <c r="F266" s="21"/>
      <c r="G266" s="21"/>
      <c r="H266" s="21"/>
      <c r="I266" s="21"/>
      <c r="J266" s="22">
        <f t="shared" si="9"/>
        <v>0</v>
      </c>
      <c r="K266" s="22"/>
      <c r="L266" s="43">
        <f t="shared" si="10"/>
        <v>0</v>
      </c>
      <c r="M266" s="25"/>
      <c r="N266" s="24"/>
    </row>
    <row r="267" spans="2:14">
      <c r="B267" s="45"/>
      <c r="C267" s="50"/>
      <c r="D267" s="47"/>
      <c r="E267" s="48">
        <f>SUM(E8:E266)</f>
        <v>115873.06</v>
      </c>
      <c r="F267" s="45"/>
      <c r="G267" s="45"/>
      <c r="H267" s="50"/>
      <c r="I267" s="51" t="s">
        <v>383</v>
      </c>
      <c r="J267" s="52">
        <f>SUBTOTAL(9,J8:J266)</f>
        <v>115873.06</v>
      </c>
      <c r="K267" s="52">
        <f>SUBTOTAL(9,K8:K266)</f>
        <v>115873.08</v>
      </c>
      <c r="L267" s="53">
        <f t="shared" si="10"/>
        <v>-0.0200000000040745</v>
      </c>
      <c r="M267" s="54"/>
      <c r="N267" s="53"/>
    </row>
    <row r="1048566" spans="2:7">
      <c r="B1048566" s="55"/>
    </row>
    <row r="1048570" spans="2:7">
      <c r="G1048570" s="23"/>
    </row>
  </sheetData>
  <autoFilter xmlns:etc="http://www.wps.cn/officeDocument/2017/etCustomData" ref="B6:N266" etc:filterBottomFollowUsedRange="0">
    <extLst/>
  </autoFilter>
  <mergeCells count="12">
    <mergeCell ref="B2:L2"/>
    <mergeCell ref="C4:D4"/>
    <mergeCell ref="G6:J6"/>
    <mergeCell ref="B6:B7"/>
    <mergeCell ref="C6:C7"/>
    <mergeCell ref="D6:D7"/>
    <mergeCell ref="E6:E7"/>
    <mergeCell ref="F6:F7"/>
    <mergeCell ref="K6:K7"/>
    <mergeCell ref="L6:L7"/>
    <mergeCell ref="M6:M7"/>
    <mergeCell ref="N6:N7"/>
  </mergeCells>
  <pageMargins left="0.7" right="0.7" top="0.75" bottom="0.75" header="0.3" footer="0.3"/>
  <pageSetup paperSize="1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048570"/>
  <sheetViews>
    <sheetView topLeftCell="A195" workbookViewId="0">
      <selection activeCell="L210" sqref="L210"/>
    </sheetView>
  </sheetViews>
  <sheetFormatPr defaultColWidth="11" defaultRowHeight="15"/>
  <cols>
    <col min="1" max="1" width="3.85714285714286" customWidth="1"/>
    <col min="2" max="2" width="11" customWidth="1"/>
    <col min="3" max="3" width="6.14285714285714" customWidth="1"/>
    <col min="4" max="4" width="14.7142857142857" customWidth="1"/>
    <col min="5" max="5" width="12.5714285714286" customWidth="1"/>
    <col min="6" max="6" width="17.7142857142857" customWidth="1"/>
    <col min="9" max="9" width="12.2857142857143" customWidth="1"/>
    <col min="10" max="10" width="14.2857142857143" customWidth="1"/>
    <col min="11" max="11" width="15.5714285714286" customWidth="1"/>
    <col min="12" max="12" width="11.4285714285714" customWidth="1"/>
    <col min="13" max="13" width="24.7142857142857" customWidth="1"/>
    <col min="14" max="14" width="18" customWidth="1"/>
  </cols>
  <sheetData>
    <row r="2" ht="21" spans="2:1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5.75"/>
    <row r="4" ht="15.75" spans="2:14">
      <c r="B4" s="3" t="s">
        <v>1</v>
      </c>
      <c r="C4" s="4">
        <v>46055</v>
      </c>
      <c r="D4" s="5"/>
    </row>
    <row r="6" spans="2:14">
      <c r="B6" s="6" t="s">
        <v>2</v>
      </c>
      <c r="C6" s="6" t="s">
        <v>3</v>
      </c>
      <c r="D6" s="6" t="s">
        <v>4</v>
      </c>
      <c r="E6" s="7" t="s">
        <v>5</v>
      </c>
      <c r="F6" s="7" t="s">
        <v>6</v>
      </c>
      <c r="G6" s="8" t="s">
        <v>7</v>
      </c>
      <c r="H6" s="9"/>
      <c r="I6" s="9"/>
      <c r="J6" s="10"/>
      <c r="K6" s="11" t="s">
        <v>8</v>
      </c>
      <c r="L6" s="11" t="s">
        <v>9</v>
      </c>
      <c r="M6" s="12" t="s">
        <v>10</v>
      </c>
      <c r="N6" s="12" t="s">
        <v>11</v>
      </c>
    </row>
    <row r="7" spans="2:14">
      <c r="B7" s="13"/>
      <c r="C7" s="13"/>
      <c r="D7" s="14"/>
      <c r="E7" s="13"/>
      <c r="F7" s="13"/>
      <c r="G7" s="15" t="s">
        <v>12</v>
      </c>
      <c r="H7" s="15" t="s">
        <v>13</v>
      </c>
      <c r="I7" s="15" t="s">
        <v>2</v>
      </c>
      <c r="J7" s="16" t="s">
        <v>14</v>
      </c>
      <c r="K7" s="17"/>
      <c r="L7" s="17"/>
      <c r="M7" s="17"/>
      <c r="N7" s="18"/>
    </row>
    <row r="8" spans="2:14">
      <c r="B8" s="19">
        <v>46055</v>
      </c>
      <c r="C8" s="20" t="s">
        <v>15</v>
      </c>
      <c r="D8" s="21" t="s">
        <v>384</v>
      </c>
      <c r="E8" s="22">
        <v>350.62</v>
      </c>
      <c r="F8" s="23" t="s">
        <v>17</v>
      </c>
      <c r="G8" s="23" t="s">
        <v>37</v>
      </c>
      <c r="H8" s="21" t="s">
        <v>385</v>
      </c>
      <c r="I8" s="19">
        <v>46055</v>
      </c>
      <c r="J8" s="22">
        <f t="shared" ref="J8:J67" si="0">E8</f>
        <v>350.62</v>
      </c>
      <c r="K8" s="22">
        <v>350.62</v>
      </c>
      <c r="L8" s="43">
        <f t="shared" ref="L8:L67" si="1">J8-K8</f>
        <v>0</v>
      </c>
      <c r="M8" s="25"/>
      <c r="N8" s="31"/>
    </row>
    <row r="9" spans="2:14">
      <c r="B9" s="72">
        <v>46055</v>
      </c>
      <c r="C9" s="73" t="s">
        <v>15</v>
      </c>
      <c r="D9" s="74" t="s">
        <v>386</v>
      </c>
      <c r="E9" s="96">
        <v>318.25</v>
      </c>
      <c r="F9" s="81" t="s">
        <v>17</v>
      </c>
      <c r="G9" s="81" t="s">
        <v>37</v>
      </c>
      <c r="H9" s="76" t="s">
        <v>387</v>
      </c>
      <c r="I9" s="72">
        <v>46055</v>
      </c>
      <c r="J9" s="96">
        <f t="shared" si="0"/>
        <v>318.25</v>
      </c>
      <c r="K9" s="96">
        <v>318.25</v>
      </c>
      <c r="L9" s="43">
        <f t="shared" si="1"/>
        <v>0</v>
      </c>
      <c r="M9" s="25"/>
      <c r="N9" s="70" t="s">
        <v>33</v>
      </c>
    </row>
    <row r="10" spans="2:14">
      <c r="B10" s="19">
        <v>46055</v>
      </c>
      <c r="C10" s="20" t="s">
        <v>15</v>
      </c>
      <c r="D10" s="21" t="s">
        <v>388</v>
      </c>
      <c r="E10" s="27">
        <v>202.99</v>
      </c>
      <c r="F10" s="23" t="s">
        <v>17</v>
      </c>
      <c r="G10" s="28" t="s">
        <v>21</v>
      </c>
      <c r="H10" s="28" t="s">
        <v>389</v>
      </c>
      <c r="I10" s="19">
        <v>46055</v>
      </c>
      <c r="J10" s="27">
        <f t="shared" si="0"/>
        <v>202.99</v>
      </c>
      <c r="K10" s="27">
        <v>202.99</v>
      </c>
      <c r="L10" s="43">
        <f t="shared" si="1"/>
        <v>0</v>
      </c>
      <c r="M10" s="25"/>
      <c r="N10" s="26"/>
    </row>
    <row r="11" spans="2:14">
      <c r="B11" s="72">
        <v>46055</v>
      </c>
      <c r="C11" s="73" t="s">
        <v>15</v>
      </c>
      <c r="D11" s="74" t="s">
        <v>390</v>
      </c>
      <c r="E11" s="111">
        <v>101.49</v>
      </c>
      <c r="F11" s="81" t="s">
        <v>17</v>
      </c>
      <c r="G11" s="81" t="s">
        <v>37</v>
      </c>
      <c r="H11" s="74" t="s">
        <v>387</v>
      </c>
      <c r="I11" s="72">
        <v>46055</v>
      </c>
      <c r="J11" s="75">
        <f t="shared" si="0"/>
        <v>101.49</v>
      </c>
      <c r="K11" s="111">
        <v>101.49</v>
      </c>
      <c r="L11" s="43">
        <f t="shared" si="1"/>
        <v>0</v>
      </c>
      <c r="M11" s="25"/>
      <c r="N11" s="70" t="s">
        <v>33</v>
      </c>
    </row>
    <row r="12" spans="2:14">
      <c r="B12" s="19">
        <v>46055</v>
      </c>
      <c r="C12" s="20" t="s">
        <v>15</v>
      </c>
      <c r="D12" s="21" t="s">
        <v>391</v>
      </c>
      <c r="E12" s="22">
        <v>1205.16</v>
      </c>
      <c r="F12" s="23" t="s">
        <v>17</v>
      </c>
      <c r="G12" s="28" t="s">
        <v>21</v>
      </c>
      <c r="H12" s="23" t="s">
        <v>392</v>
      </c>
      <c r="I12" s="19">
        <v>46055</v>
      </c>
      <c r="J12" s="22">
        <f t="shared" si="0"/>
        <v>1205.16</v>
      </c>
      <c r="K12" s="22">
        <v>1205.16</v>
      </c>
      <c r="L12" s="43">
        <f t="shared" si="1"/>
        <v>0</v>
      </c>
      <c r="M12" s="25"/>
      <c r="N12" s="31"/>
    </row>
    <row r="13" spans="2:14">
      <c r="B13" s="64">
        <v>46055</v>
      </c>
      <c r="C13" s="112" t="s">
        <v>15</v>
      </c>
      <c r="D13" s="113" t="s">
        <v>393</v>
      </c>
      <c r="E13" s="114">
        <v>182.53</v>
      </c>
      <c r="F13" s="115" t="s">
        <v>17</v>
      </c>
      <c r="G13" s="115" t="s">
        <v>21</v>
      </c>
      <c r="H13" s="113" t="s">
        <v>394</v>
      </c>
      <c r="I13" s="64">
        <v>46055</v>
      </c>
      <c r="J13" s="114">
        <f t="shared" si="0"/>
        <v>182.53</v>
      </c>
      <c r="K13" s="114">
        <v>182.53</v>
      </c>
      <c r="L13" s="43">
        <f t="shared" si="1"/>
        <v>0</v>
      </c>
      <c r="M13" s="25"/>
      <c r="N13" s="70" t="s">
        <v>366</v>
      </c>
    </row>
    <row r="14" spans="2:14">
      <c r="B14" s="64">
        <v>46055</v>
      </c>
      <c r="C14" s="112" t="s">
        <v>15</v>
      </c>
      <c r="D14" s="66" t="s">
        <v>395</v>
      </c>
      <c r="E14" s="67">
        <v>385.21</v>
      </c>
      <c r="F14" s="115" t="s">
        <v>17</v>
      </c>
      <c r="G14" s="115" t="s">
        <v>21</v>
      </c>
      <c r="H14" s="66" t="s">
        <v>396</v>
      </c>
      <c r="I14" s="64">
        <v>46055</v>
      </c>
      <c r="J14" s="67">
        <f t="shared" si="0"/>
        <v>385.21</v>
      </c>
      <c r="K14" s="67">
        <v>385.21</v>
      </c>
      <c r="L14" s="43">
        <f t="shared" si="1"/>
        <v>0</v>
      </c>
      <c r="M14" s="25"/>
      <c r="N14" s="70" t="s">
        <v>366</v>
      </c>
    </row>
    <row r="15" spans="2:14">
      <c r="B15" s="19">
        <v>46056</v>
      </c>
      <c r="C15" s="116" t="s">
        <v>15</v>
      </c>
      <c r="D15" s="21" t="s">
        <v>397</v>
      </c>
      <c r="E15" s="22">
        <v>280.84</v>
      </c>
      <c r="F15" s="23" t="s">
        <v>17</v>
      </c>
      <c r="G15" s="28" t="s">
        <v>21</v>
      </c>
      <c r="H15" s="21" t="s">
        <v>398</v>
      </c>
      <c r="I15" s="19">
        <v>46056</v>
      </c>
      <c r="J15" s="22">
        <f t="shared" si="0"/>
        <v>280.84</v>
      </c>
      <c r="K15" s="22">
        <v>280.84</v>
      </c>
      <c r="L15" s="43">
        <f t="shared" si="1"/>
        <v>0</v>
      </c>
      <c r="M15" s="25"/>
      <c r="N15" s="26"/>
    </row>
    <row r="16" spans="2:14">
      <c r="B16" s="72">
        <v>46056</v>
      </c>
      <c r="C16" s="117" t="s">
        <v>15</v>
      </c>
      <c r="D16" s="74" t="s">
        <v>399</v>
      </c>
      <c r="E16" s="75">
        <v>813.94</v>
      </c>
      <c r="F16" s="81" t="s">
        <v>17</v>
      </c>
      <c r="G16" s="81" t="s">
        <v>18</v>
      </c>
      <c r="H16" s="81" t="s">
        <v>400</v>
      </c>
      <c r="I16" s="72">
        <v>46056</v>
      </c>
      <c r="J16" s="75">
        <f t="shared" si="0"/>
        <v>813.94</v>
      </c>
      <c r="K16" s="75">
        <v>813.94</v>
      </c>
      <c r="L16" s="43">
        <f t="shared" si="1"/>
        <v>0</v>
      </c>
      <c r="M16" s="25"/>
      <c r="N16" s="70" t="s">
        <v>23</v>
      </c>
    </row>
    <row r="17" spans="2:14">
      <c r="B17" s="72">
        <v>46056</v>
      </c>
      <c r="C17" s="117" t="s">
        <v>15</v>
      </c>
      <c r="D17" s="74" t="s">
        <v>401</v>
      </c>
      <c r="E17" s="75">
        <v>103.7</v>
      </c>
      <c r="F17" s="81" t="s">
        <v>17</v>
      </c>
      <c r="G17" s="76" t="s">
        <v>21</v>
      </c>
      <c r="H17" s="74" t="s">
        <v>402</v>
      </c>
      <c r="I17" s="72">
        <v>46056</v>
      </c>
      <c r="J17" s="75">
        <f t="shared" si="0"/>
        <v>103.7</v>
      </c>
      <c r="K17" s="75">
        <v>103.7</v>
      </c>
      <c r="L17" s="43">
        <f t="shared" si="1"/>
        <v>0</v>
      </c>
      <c r="M17" s="25"/>
      <c r="N17" s="70" t="s">
        <v>63</v>
      </c>
    </row>
    <row r="18" spans="2:14">
      <c r="B18" s="19">
        <v>46056</v>
      </c>
      <c r="C18" s="116" t="s">
        <v>15</v>
      </c>
      <c r="D18" s="21" t="s">
        <v>403</v>
      </c>
      <c r="E18" s="22">
        <v>142.21</v>
      </c>
      <c r="F18" s="23" t="s">
        <v>17</v>
      </c>
      <c r="G18" s="28" t="s">
        <v>21</v>
      </c>
      <c r="H18" s="21" t="s">
        <v>404</v>
      </c>
      <c r="I18" s="19">
        <v>46056</v>
      </c>
      <c r="J18" s="22">
        <f t="shared" si="0"/>
        <v>142.21</v>
      </c>
      <c r="K18" s="22">
        <v>142.21</v>
      </c>
      <c r="L18" s="43">
        <f t="shared" si="1"/>
        <v>0</v>
      </c>
      <c r="M18" s="25"/>
      <c r="N18" s="31"/>
    </row>
    <row r="19" spans="2:14">
      <c r="B19" s="19">
        <v>46056</v>
      </c>
      <c r="C19" s="116" t="s">
        <v>15</v>
      </c>
      <c r="D19" s="21" t="s">
        <v>405</v>
      </c>
      <c r="E19" s="22">
        <v>304.91</v>
      </c>
      <c r="F19" s="23" t="s">
        <v>228</v>
      </c>
      <c r="G19" s="23"/>
      <c r="H19" s="21"/>
      <c r="I19" s="19">
        <v>46056</v>
      </c>
      <c r="J19" s="22">
        <f t="shared" si="0"/>
        <v>304.91</v>
      </c>
      <c r="K19" s="22">
        <v>304.91</v>
      </c>
      <c r="L19" s="43">
        <f t="shared" si="1"/>
        <v>0</v>
      </c>
      <c r="M19" s="25"/>
      <c r="N19" s="31"/>
    </row>
    <row r="20" spans="2:14">
      <c r="B20" s="19">
        <v>46056</v>
      </c>
      <c r="C20" s="116" t="s">
        <v>15</v>
      </c>
      <c r="D20" s="21" t="s">
        <v>406</v>
      </c>
      <c r="E20" s="22">
        <v>48.4</v>
      </c>
      <c r="F20" s="23" t="s">
        <v>29</v>
      </c>
      <c r="G20" s="23"/>
      <c r="H20" s="21" t="s">
        <v>407</v>
      </c>
      <c r="I20" s="19">
        <v>46056</v>
      </c>
      <c r="J20" s="22">
        <f t="shared" si="0"/>
        <v>48.4</v>
      </c>
      <c r="K20" s="22">
        <v>48.4</v>
      </c>
      <c r="L20" s="43">
        <f t="shared" si="1"/>
        <v>0</v>
      </c>
      <c r="M20" s="25"/>
      <c r="N20" s="31"/>
    </row>
    <row r="21" spans="2:14">
      <c r="B21" s="72">
        <v>46056</v>
      </c>
      <c r="C21" s="117" t="s">
        <v>15</v>
      </c>
      <c r="D21" s="74" t="s">
        <v>408</v>
      </c>
      <c r="E21" s="75">
        <v>275.28</v>
      </c>
      <c r="F21" s="81" t="s">
        <v>17</v>
      </c>
      <c r="G21" s="76" t="s">
        <v>21</v>
      </c>
      <c r="H21" s="74" t="s">
        <v>409</v>
      </c>
      <c r="I21" s="72">
        <v>46056</v>
      </c>
      <c r="J21" s="75">
        <f t="shared" si="0"/>
        <v>275.28</v>
      </c>
      <c r="K21" s="75">
        <v>275.28</v>
      </c>
      <c r="L21" s="43">
        <f t="shared" si="1"/>
        <v>0</v>
      </c>
      <c r="M21" s="25"/>
      <c r="N21" s="70" t="s">
        <v>224</v>
      </c>
    </row>
    <row r="22" spans="2:14">
      <c r="B22" s="72">
        <v>46056</v>
      </c>
      <c r="C22" s="117" t="s">
        <v>15</v>
      </c>
      <c r="D22" s="74" t="s">
        <v>410</v>
      </c>
      <c r="E22" s="75">
        <v>70.5</v>
      </c>
      <c r="F22" s="81" t="s">
        <v>17</v>
      </c>
      <c r="G22" s="76" t="s">
        <v>21</v>
      </c>
      <c r="H22" s="74" t="s">
        <v>411</v>
      </c>
      <c r="I22" s="72">
        <v>46056</v>
      </c>
      <c r="J22" s="75">
        <f t="shared" si="0"/>
        <v>70.5</v>
      </c>
      <c r="K22" s="75">
        <v>70.5</v>
      </c>
      <c r="L22" s="43">
        <f t="shared" si="1"/>
        <v>0</v>
      </c>
      <c r="M22" s="25"/>
      <c r="N22" s="70" t="s">
        <v>224</v>
      </c>
    </row>
    <row r="23" spans="2:14">
      <c r="B23" s="72">
        <v>46057</v>
      </c>
      <c r="C23" s="117" t="s">
        <v>15</v>
      </c>
      <c r="D23" s="74" t="s">
        <v>412</v>
      </c>
      <c r="E23" s="75">
        <v>325.66</v>
      </c>
      <c r="F23" s="81" t="s">
        <v>17</v>
      </c>
      <c r="G23" s="76" t="s">
        <v>21</v>
      </c>
      <c r="H23" s="81" t="s">
        <v>413</v>
      </c>
      <c r="I23" s="72">
        <v>46057</v>
      </c>
      <c r="J23" s="75">
        <f t="shared" si="0"/>
        <v>325.66</v>
      </c>
      <c r="K23" s="75">
        <v>325.66</v>
      </c>
      <c r="L23" s="43">
        <f t="shared" si="1"/>
        <v>0</v>
      </c>
      <c r="M23" s="25"/>
      <c r="N23" s="70" t="s">
        <v>39</v>
      </c>
    </row>
    <row r="24" spans="2:14">
      <c r="B24" s="19">
        <v>46057</v>
      </c>
      <c r="C24" s="116" t="s">
        <v>15</v>
      </c>
      <c r="D24" s="21" t="s">
        <v>414</v>
      </c>
      <c r="E24" s="22">
        <v>35.91</v>
      </c>
      <c r="F24" s="21" t="s">
        <v>17</v>
      </c>
      <c r="G24" s="28" t="s">
        <v>21</v>
      </c>
      <c r="H24" s="21" t="s">
        <v>415</v>
      </c>
      <c r="I24" s="19">
        <v>46057</v>
      </c>
      <c r="J24" s="22">
        <f t="shared" si="0"/>
        <v>35.91</v>
      </c>
      <c r="K24" s="22">
        <v>35.91</v>
      </c>
      <c r="L24" s="43">
        <f t="shared" si="1"/>
        <v>0</v>
      </c>
      <c r="M24" s="25"/>
      <c r="N24" s="31"/>
    </row>
    <row r="25" spans="2:14">
      <c r="B25" s="19">
        <v>46057</v>
      </c>
      <c r="C25" s="116" t="s">
        <v>15</v>
      </c>
      <c r="D25" s="21" t="s">
        <v>416</v>
      </c>
      <c r="E25" s="22">
        <v>597.95</v>
      </c>
      <c r="F25" s="21" t="s">
        <v>17</v>
      </c>
      <c r="G25" s="28" t="s">
        <v>21</v>
      </c>
      <c r="H25" s="21" t="s">
        <v>417</v>
      </c>
      <c r="I25" s="19">
        <v>46057</v>
      </c>
      <c r="J25" s="22">
        <f t="shared" si="0"/>
        <v>597.95</v>
      </c>
      <c r="K25" s="22">
        <v>597.95</v>
      </c>
      <c r="L25" s="43">
        <f t="shared" si="1"/>
        <v>0</v>
      </c>
      <c r="M25" s="25"/>
      <c r="N25" s="26"/>
    </row>
    <row r="26" spans="2:14">
      <c r="B26" s="19">
        <v>46057</v>
      </c>
      <c r="C26" s="116" t="s">
        <v>15</v>
      </c>
      <c r="D26" s="21" t="s">
        <v>418</v>
      </c>
      <c r="E26" s="22">
        <v>370.69</v>
      </c>
      <c r="F26" s="21" t="s">
        <v>17</v>
      </c>
      <c r="G26" s="28" t="s">
        <v>21</v>
      </c>
      <c r="H26" s="21" t="s">
        <v>419</v>
      </c>
      <c r="I26" s="19">
        <v>46057</v>
      </c>
      <c r="J26" s="22">
        <f t="shared" si="0"/>
        <v>370.69</v>
      </c>
      <c r="K26" s="22">
        <v>370.69</v>
      </c>
      <c r="L26" s="43">
        <f t="shared" si="1"/>
        <v>0</v>
      </c>
      <c r="M26" s="25"/>
      <c r="N26" s="26"/>
    </row>
    <row r="27" spans="2:14">
      <c r="B27" s="19">
        <v>46057</v>
      </c>
      <c r="C27" s="116" t="s">
        <v>15</v>
      </c>
      <c r="D27" s="21" t="s">
        <v>420</v>
      </c>
      <c r="E27" s="22">
        <v>1492.84</v>
      </c>
      <c r="F27" s="21" t="s">
        <v>29</v>
      </c>
      <c r="G27" s="23"/>
      <c r="H27" s="21" t="s">
        <v>421</v>
      </c>
      <c r="I27" s="19">
        <v>46057</v>
      </c>
      <c r="J27" s="22">
        <f t="shared" si="0"/>
        <v>1492.84</v>
      </c>
      <c r="K27" s="22">
        <v>1492.84</v>
      </c>
      <c r="L27" s="43">
        <f t="shared" si="1"/>
        <v>0</v>
      </c>
      <c r="M27" s="25"/>
      <c r="N27" s="31"/>
    </row>
    <row r="28" spans="2:14">
      <c r="B28" s="19">
        <v>46057</v>
      </c>
      <c r="C28" s="116" t="s">
        <v>15</v>
      </c>
      <c r="D28" s="21" t="s">
        <v>422</v>
      </c>
      <c r="E28" s="22">
        <v>405.97</v>
      </c>
      <c r="F28" s="21" t="s">
        <v>17</v>
      </c>
      <c r="G28" s="23" t="s">
        <v>18</v>
      </c>
      <c r="H28" s="21" t="s">
        <v>423</v>
      </c>
      <c r="I28" s="19">
        <v>46059</v>
      </c>
      <c r="J28" s="22">
        <f t="shared" si="0"/>
        <v>405.97</v>
      </c>
      <c r="K28" s="22">
        <v>405.97</v>
      </c>
      <c r="L28" s="43">
        <f t="shared" si="1"/>
        <v>0</v>
      </c>
      <c r="M28" s="25"/>
      <c r="N28" s="26"/>
    </row>
    <row r="29" spans="2:14">
      <c r="B29" s="19">
        <v>46057</v>
      </c>
      <c r="C29" s="116" t="s">
        <v>15</v>
      </c>
      <c r="D29" s="21" t="s">
        <v>424</v>
      </c>
      <c r="E29" s="22">
        <v>202.99</v>
      </c>
      <c r="F29" s="21" t="s">
        <v>17</v>
      </c>
      <c r="G29" s="28" t="s">
        <v>21</v>
      </c>
      <c r="H29" s="21" t="s">
        <v>425</v>
      </c>
      <c r="I29" s="19">
        <v>46057</v>
      </c>
      <c r="J29" s="22">
        <f t="shared" si="0"/>
        <v>202.99</v>
      </c>
      <c r="K29" s="22">
        <v>202.99</v>
      </c>
      <c r="L29" s="43">
        <f t="shared" si="1"/>
        <v>0</v>
      </c>
      <c r="M29" s="25"/>
      <c r="N29" s="26"/>
    </row>
    <row r="30" spans="2:14">
      <c r="B30" s="19">
        <v>46057</v>
      </c>
      <c r="C30" s="116" t="s">
        <v>15</v>
      </c>
      <c r="D30" s="21" t="s">
        <v>426</v>
      </c>
      <c r="E30" s="22">
        <v>306.81</v>
      </c>
      <c r="F30" s="21" t="s">
        <v>29</v>
      </c>
      <c r="G30" s="23"/>
      <c r="H30" s="21" t="s">
        <v>427</v>
      </c>
      <c r="I30" s="19">
        <v>46057</v>
      </c>
      <c r="J30" s="22">
        <f t="shared" si="0"/>
        <v>306.81</v>
      </c>
      <c r="K30" s="22">
        <v>306.81</v>
      </c>
      <c r="L30" s="43">
        <f t="shared" si="1"/>
        <v>0</v>
      </c>
      <c r="M30" s="25"/>
      <c r="N30" s="31"/>
    </row>
    <row r="31" spans="2:14">
      <c r="B31" s="72">
        <v>46058</v>
      </c>
      <c r="C31" s="73" t="s">
        <v>15</v>
      </c>
      <c r="D31" s="74" t="s">
        <v>428</v>
      </c>
      <c r="E31" s="75">
        <v>28.15</v>
      </c>
      <c r="F31" s="74" t="s">
        <v>17</v>
      </c>
      <c r="G31" s="76" t="s">
        <v>21</v>
      </c>
      <c r="H31" s="74" t="s">
        <v>429</v>
      </c>
      <c r="I31" s="72">
        <v>46058</v>
      </c>
      <c r="J31" s="75">
        <f t="shared" si="0"/>
        <v>28.15</v>
      </c>
      <c r="K31" s="75">
        <v>28.15</v>
      </c>
      <c r="L31" s="43">
        <f t="shared" si="1"/>
        <v>0</v>
      </c>
      <c r="M31" s="25"/>
      <c r="N31" s="70" t="s">
        <v>33</v>
      </c>
    </row>
    <row r="32" spans="2:14">
      <c r="B32" s="19">
        <v>46058</v>
      </c>
      <c r="C32" s="20" t="s">
        <v>15</v>
      </c>
      <c r="D32" s="21" t="s">
        <v>430</v>
      </c>
      <c r="E32" s="22">
        <v>561.96</v>
      </c>
      <c r="F32" s="21" t="s">
        <v>29</v>
      </c>
      <c r="G32" s="21"/>
      <c r="H32" s="21" t="s">
        <v>431</v>
      </c>
      <c r="I32" s="19">
        <v>46058</v>
      </c>
      <c r="J32" s="22">
        <f t="shared" si="0"/>
        <v>561.96</v>
      </c>
      <c r="K32" s="22">
        <v>561.96</v>
      </c>
      <c r="L32" s="43">
        <f t="shared" si="1"/>
        <v>0</v>
      </c>
      <c r="M32" s="25"/>
      <c r="N32" s="31"/>
    </row>
    <row r="33" spans="2:14">
      <c r="B33" s="72">
        <v>46058</v>
      </c>
      <c r="C33" s="73" t="s">
        <v>15</v>
      </c>
      <c r="D33" s="74" t="s">
        <v>432</v>
      </c>
      <c r="E33" s="75">
        <v>88</v>
      </c>
      <c r="F33" s="74" t="s">
        <v>17</v>
      </c>
      <c r="G33" s="76" t="s">
        <v>21</v>
      </c>
      <c r="H33" s="74" t="s">
        <v>433</v>
      </c>
      <c r="I33" s="72">
        <v>46058</v>
      </c>
      <c r="J33" s="75">
        <f t="shared" si="0"/>
        <v>88</v>
      </c>
      <c r="K33" s="75">
        <v>88</v>
      </c>
      <c r="L33" s="43">
        <f t="shared" si="1"/>
        <v>0</v>
      </c>
      <c r="M33" s="25"/>
      <c r="N33" s="70" t="s">
        <v>33</v>
      </c>
    </row>
    <row r="34" spans="2:14">
      <c r="B34" s="72">
        <v>46058</v>
      </c>
      <c r="C34" s="73" t="s">
        <v>15</v>
      </c>
      <c r="D34" s="74" t="s">
        <v>434</v>
      </c>
      <c r="E34" s="75">
        <v>388.08</v>
      </c>
      <c r="F34" s="74" t="s">
        <v>29</v>
      </c>
      <c r="G34" s="81"/>
      <c r="H34" s="74" t="s">
        <v>435</v>
      </c>
      <c r="I34" s="72">
        <v>46058</v>
      </c>
      <c r="J34" s="75">
        <f t="shared" si="0"/>
        <v>388.08</v>
      </c>
      <c r="K34" s="75">
        <v>388.08</v>
      </c>
      <c r="L34" s="43">
        <f t="shared" si="1"/>
        <v>0</v>
      </c>
      <c r="M34" s="25"/>
      <c r="N34" s="70" t="s">
        <v>23</v>
      </c>
    </row>
    <row r="35" spans="2:14">
      <c r="B35" s="72">
        <v>46058</v>
      </c>
      <c r="C35" s="73" t="s">
        <v>15</v>
      </c>
      <c r="D35" s="74" t="s">
        <v>436</v>
      </c>
      <c r="E35" s="75">
        <v>275.94</v>
      </c>
      <c r="F35" s="74" t="s">
        <v>29</v>
      </c>
      <c r="G35" s="81"/>
      <c r="H35" s="74" t="s">
        <v>437</v>
      </c>
      <c r="I35" s="72">
        <v>46058</v>
      </c>
      <c r="J35" s="75">
        <f t="shared" si="0"/>
        <v>275.94</v>
      </c>
      <c r="K35" s="75">
        <v>275.94</v>
      </c>
      <c r="L35" s="43">
        <f t="shared" si="1"/>
        <v>0</v>
      </c>
      <c r="M35" s="25"/>
      <c r="N35" s="70" t="s">
        <v>23</v>
      </c>
    </row>
    <row r="36" spans="2:14">
      <c r="B36" s="72">
        <v>46058</v>
      </c>
      <c r="C36" s="73" t="s">
        <v>15</v>
      </c>
      <c r="D36" s="74" t="s">
        <v>438</v>
      </c>
      <c r="E36" s="75">
        <v>406.97</v>
      </c>
      <c r="F36" s="74" t="s">
        <v>29</v>
      </c>
      <c r="G36" s="74"/>
      <c r="H36" s="74" t="s">
        <v>439</v>
      </c>
      <c r="I36" s="72">
        <v>46058</v>
      </c>
      <c r="J36" s="75">
        <f t="shared" si="0"/>
        <v>406.97</v>
      </c>
      <c r="K36" s="75">
        <v>406.97</v>
      </c>
      <c r="L36" s="43">
        <f t="shared" si="1"/>
        <v>0</v>
      </c>
      <c r="M36" s="25"/>
      <c r="N36" s="70" t="s">
        <v>23</v>
      </c>
    </row>
    <row r="37" spans="2:14">
      <c r="B37" s="19">
        <v>46059</v>
      </c>
      <c r="C37" s="20" t="s">
        <v>15</v>
      </c>
      <c r="D37" s="21" t="s">
        <v>440</v>
      </c>
      <c r="E37" s="22">
        <v>202.99</v>
      </c>
      <c r="F37" s="21" t="s">
        <v>17</v>
      </c>
      <c r="G37" s="23" t="s">
        <v>18</v>
      </c>
      <c r="H37" s="21" t="s">
        <v>441</v>
      </c>
      <c r="I37" s="19">
        <v>46059</v>
      </c>
      <c r="J37" s="22">
        <f t="shared" si="0"/>
        <v>202.99</v>
      </c>
      <c r="K37" s="22">
        <v>202.99</v>
      </c>
      <c r="L37" s="43">
        <f t="shared" si="1"/>
        <v>0</v>
      </c>
      <c r="M37" s="25"/>
      <c r="N37" s="26"/>
    </row>
    <row r="38" spans="2:14">
      <c r="B38" s="19">
        <v>46059</v>
      </c>
      <c r="C38" s="20" t="s">
        <v>15</v>
      </c>
      <c r="D38" s="21" t="s">
        <v>442</v>
      </c>
      <c r="E38" s="22">
        <v>1205.16</v>
      </c>
      <c r="F38" s="21" t="s">
        <v>443</v>
      </c>
      <c r="G38" s="21"/>
      <c r="H38" s="21"/>
      <c r="I38" s="19">
        <v>46059</v>
      </c>
      <c r="J38" s="22">
        <f t="shared" si="0"/>
        <v>1205.16</v>
      </c>
      <c r="K38" s="22">
        <v>1205.16</v>
      </c>
      <c r="L38" s="43">
        <f t="shared" si="1"/>
        <v>0</v>
      </c>
      <c r="M38" s="25"/>
      <c r="N38" s="31"/>
    </row>
    <row r="39" spans="2:14">
      <c r="B39" s="72">
        <v>46059</v>
      </c>
      <c r="C39" s="73" t="s">
        <v>15</v>
      </c>
      <c r="D39" s="74" t="s">
        <v>444</v>
      </c>
      <c r="E39" s="75">
        <v>661.52</v>
      </c>
      <c r="F39" s="74" t="s">
        <v>17</v>
      </c>
      <c r="G39" s="76" t="s">
        <v>21</v>
      </c>
      <c r="H39" s="74" t="s">
        <v>445</v>
      </c>
      <c r="I39" s="72">
        <v>46059</v>
      </c>
      <c r="J39" s="75">
        <f t="shared" si="0"/>
        <v>661.52</v>
      </c>
      <c r="K39" s="75">
        <v>661.52</v>
      </c>
      <c r="L39" s="43">
        <f t="shared" si="1"/>
        <v>0</v>
      </c>
      <c r="M39" s="25"/>
      <c r="N39" s="70" t="s">
        <v>39</v>
      </c>
    </row>
    <row r="40" spans="2:14">
      <c r="B40" s="19">
        <v>46059</v>
      </c>
      <c r="C40" s="20" t="s">
        <v>15</v>
      </c>
      <c r="D40" s="21" t="s">
        <v>446</v>
      </c>
      <c r="E40" s="22">
        <v>392.29</v>
      </c>
      <c r="F40" s="21" t="s">
        <v>17</v>
      </c>
      <c r="G40" s="28" t="s">
        <v>21</v>
      </c>
      <c r="H40" s="21" t="s">
        <v>447</v>
      </c>
      <c r="I40" s="19">
        <v>46059</v>
      </c>
      <c r="J40" s="22">
        <f t="shared" si="0"/>
        <v>392.29</v>
      </c>
      <c r="K40" s="22">
        <v>392.29</v>
      </c>
      <c r="L40" s="43">
        <f t="shared" si="1"/>
        <v>0</v>
      </c>
      <c r="M40" s="25"/>
      <c r="N40" s="31"/>
    </row>
    <row r="41" spans="2:14">
      <c r="B41" s="19">
        <v>46059</v>
      </c>
      <c r="C41" s="20" t="s">
        <v>15</v>
      </c>
      <c r="D41" s="21" t="s">
        <v>448</v>
      </c>
      <c r="E41" s="22">
        <v>53.22</v>
      </c>
      <c r="F41" s="21" t="s">
        <v>17</v>
      </c>
      <c r="G41" s="28" t="s">
        <v>21</v>
      </c>
      <c r="H41" s="21" t="s">
        <v>449</v>
      </c>
      <c r="I41" s="19">
        <v>46059</v>
      </c>
      <c r="J41" s="22">
        <f t="shared" si="0"/>
        <v>53.22</v>
      </c>
      <c r="K41" s="22">
        <v>53.22</v>
      </c>
      <c r="L41" s="43">
        <f t="shared" si="1"/>
        <v>0</v>
      </c>
      <c r="M41" s="25"/>
      <c r="N41" s="31"/>
    </row>
    <row r="42" spans="2:14">
      <c r="B42" s="72">
        <v>46059</v>
      </c>
      <c r="C42" s="73" t="s">
        <v>15</v>
      </c>
      <c r="D42" s="74" t="s">
        <v>450</v>
      </c>
      <c r="E42" s="75">
        <v>286.88</v>
      </c>
      <c r="F42" s="74" t="s">
        <v>29</v>
      </c>
      <c r="G42" s="81"/>
      <c r="H42" s="74" t="s">
        <v>451</v>
      </c>
      <c r="I42" s="72">
        <v>46059</v>
      </c>
      <c r="J42" s="75">
        <f t="shared" si="0"/>
        <v>286.88</v>
      </c>
      <c r="K42" s="75">
        <v>286.88</v>
      </c>
      <c r="L42" s="43">
        <f t="shared" si="1"/>
        <v>0</v>
      </c>
      <c r="M42" s="25"/>
      <c r="N42" s="70" t="s">
        <v>60</v>
      </c>
    </row>
    <row r="43" spans="2:14">
      <c r="B43" s="72">
        <v>46059</v>
      </c>
      <c r="C43" s="73" t="s">
        <v>15</v>
      </c>
      <c r="D43" s="74" t="s">
        <v>452</v>
      </c>
      <c r="E43" s="75">
        <v>657.41</v>
      </c>
      <c r="F43" s="74" t="s">
        <v>17</v>
      </c>
      <c r="G43" s="76" t="s">
        <v>21</v>
      </c>
      <c r="H43" s="74" t="s">
        <v>453</v>
      </c>
      <c r="I43" s="72">
        <v>46059</v>
      </c>
      <c r="J43" s="75">
        <f t="shared" si="0"/>
        <v>657.41</v>
      </c>
      <c r="K43" s="75">
        <v>657.41</v>
      </c>
      <c r="L43" s="43">
        <f t="shared" si="1"/>
        <v>0</v>
      </c>
      <c r="M43" s="25"/>
      <c r="N43" s="70" t="s">
        <v>63</v>
      </c>
    </row>
    <row r="44" spans="2:14">
      <c r="B44" s="72">
        <v>46059</v>
      </c>
      <c r="C44" s="73" t="s">
        <v>15</v>
      </c>
      <c r="D44" s="74" t="s">
        <v>454</v>
      </c>
      <c r="E44" s="75">
        <v>564.33</v>
      </c>
      <c r="F44" s="74" t="s">
        <v>17</v>
      </c>
      <c r="G44" s="76" t="s">
        <v>21</v>
      </c>
      <c r="H44" s="74" t="s">
        <v>455</v>
      </c>
      <c r="I44" s="72">
        <v>46059</v>
      </c>
      <c r="J44" s="75">
        <f t="shared" si="0"/>
        <v>564.33</v>
      </c>
      <c r="K44" s="75">
        <v>564.33</v>
      </c>
      <c r="L44" s="43">
        <f t="shared" si="1"/>
        <v>0</v>
      </c>
      <c r="M44" s="25"/>
      <c r="N44" s="70" t="s">
        <v>33</v>
      </c>
    </row>
    <row r="45" spans="2:14">
      <c r="B45" s="19">
        <v>46059</v>
      </c>
      <c r="C45" s="20" t="s">
        <v>15</v>
      </c>
      <c r="D45" s="21" t="s">
        <v>456</v>
      </c>
      <c r="E45" s="22">
        <v>381.32</v>
      </c>
      <c r="F45" s="21" t="s">
        <v>29</v>
      </c>
      <c r="G45" s="21"/>
      <c r="H45" s="21" t="s">
        <v>457</v>
      </c>
      <c r="I45" s="19">
        <v>46059</v>
      </c>
      <c r="J45" s="22">
        <f t="shared" si="0"/>
        <v>381.32</v>
      </c>
      <c r="K45" s="22">
        <v>381.32</v>
      </c>
      <c r="L45" s="43">
        <f t="shared" si="1"/>
        <v>0</v>
      </c>
      <c r="M45" s="25"/>
      <c r="N45" s="26"/>
    </row>
    <row r="46" spans="2:14">
      <c r="B46" s="97">
        <v>46059</v>
      </c>
      <c r="C46" s="98" t="s">
        <v>15</v>
      </c>
      <c r="D46" s="99" t="s">
        <v>458</v>
      </c>
      <c r="E46" s="100">
        <v>4069.7</v>
      </c>
      <c r="F46" s="99" t="s">
        <v>17</v>
      </c>
      <c r="G46" s="102" t="s">
        <v>21</v>
      </c>
      <c r="H46" s="99" t="s">
        <v>459</v>
      </c>
      <c r="I46" s="97">
        <v>46059</v>
      </c>
      <c r="J46" s="100">
        <f t="shared" si="0"/>
        <v>4069.7</v>
      </c>
      <c r="K46" s="100">
        <v>4069.7</v>
      </c>
      <c r="L46" s="43">
        <f t="shared" si="1"/>
        <v>0</v>
      </c>
      <c r="M46" s="25"/>
      <c r="N46" s="70" t="s">
        <v>56</v>
      </c>
    </row>
    <row r="47" spans="2:14">
      <c r="B47" s="97">
        <v>46059</v>
      </c>
      <c r="C47" s="98" t="s">
        <v>15</v>
      </c>
      <c r="D47" s="99" t="s">
        <v>460</v>
      </c>
      <c r="E47" s="100">
        <v>1737.66</v>
      </c>
      <c r="F47" s="99" t="s">
        <v>17</v>
      </c>
      <c r="G47" s="101" t="s">
        <v>18</v>
      </c>
      <c r="H47" s="118" t="s">
        <v>461</v>
      </c>
      <c r="I47" s="97">
        <v>46059</v>
      </c>
      <c r="J47" s="100">
        <f t="shared" si="0"/>
        <v>1737.66</v>
      </c>
      <c r="K47" s="100">
        <v>1737.66</v>
      </c>
      <c r="L47" s="43">
        <f t="shared" si="1"/>
        <v>0</v>
      </c>
      <c r="M47" s="25"/>
      <c r="N47" s="70" t="s">
        <v>56</v>
      </c>
    </row>
    <row r="48" spans="2:14">
      <c r="B48" s="19">
        <v>46060</v>
      </c>
      <c r="C48" s="20" t="s">
        <v>15</v>
      </c>
      <c r="D48" s="21" t="s">
        <v>462</v>
      </c>
      <c r="E48" s="22">
        <v>90.84</v>
      </c>
      <c r="F48" s="21" t="s">
        <v>17</v>
      </c>
      <c r="G48" s="28" t="s">
        <v>21</v>
      </c>
      <c r="H48" s="21" t="s">
        <v>463</v>
      </c>
      <c r="I48" s="19">
        <v>46060</v>
      </c>
      <c r="J48" s="22">
        <f t="shared" si="0"/>
        <v>90.84</v>
      </c>
      <c r="K48" s="22">
        <v>90.84</v>
      </c>
      <c r="L48" s="43">
        <f t="shared" si="1"/>
        <v>0</v>
      </c>
      <c r="M48" s="25"/>
      <c r="N48" s="24"/>
    </row>
    <row r="49" spans="2:14">
      <c r="B49" s="19">
        <v>46060</v>
      </c>
      <c r="C49" s="20" t="s">
        <v>15</v>
      </c>
      <c r="D49" s="21" t="s">
        <v>464</v>
      </c>
      <c r="E49" s="22">
        <v>221.9</v>
      </c>
      <c r="F49" s="21" t="s">
        <v>17</v>
      </c>
      <c r="G49" s="28" t="s">
        <v>21</v>
      </c>
      <c r="H49" s="21" t="s">
        <v>465</v>
      </c>
      <c r="I49" s="19">
        <v>46060</v>
      </c>
      <c r="J49" s="22">
        <f t="shared" si="0"/>
        <v>221.9</v>
      </c>
      <c r="K49" s="22">
        <v>221.9</v>
      </c>
      <c r="L49" s="43">
        <f t="shared" si="1"/>
        <v>0</v>
      </c>
      <c r="M49" s="25"/>
      <c r="N49" s="24"/>
    </row>
    <row r="50" spans="2:14">
      <c r="B50" s="64">
        <v>46060</v>
      </c>
      <c r="C50" s="65" t="s">
        <v>15</v>
      </c>
      <c r="D50" s="66" t="s">
        <v>466</v>
      </c>
      <c r="E50" s="67">
        <v>71.82</v>
      </c>
      <c r="F50" s="66" t="s">
        <v>17</v>
      </c>
      <c r="G50" s="88" t="s">
        <v>21</v>
      </c>
      <c r="H50" s="66" t="s">
        <v>467</v>
      </c>
      <c r="I50" s="64">
        <v>46060</v>
      </c>
      <c r="J50" s="67">
        <f t="shared" si="0"/>
        <v>71.82</v>
      </c>
      <c r="K50" s="67">
        <v>71.82</v>
      </c>
      <c r="L50" s="43">
        <f t="shared" si="1"/>
        <v>0</v>
      </c>
      <c r="M50" s="25"/>
      <c r="N50" s="70" t="s">
        <v>366</v>
      </c>
    </row>
    <row r="51" spans="2:14">
      <c r="B51" s="72">
        <v>46062</v>
      </c>
      <c r="C51" s="73" t="s">
        <v>15</v>
      </c>
      <c r="D51" s="74" t="s">
        <v>468</v>
      </c>
      <c r="E51" s="75">
        <v>348.88</v>
      </c>
      <c r="F51" s="74" t="s">
        <v>17</v>
      </c>
      <c r="G51" s="81" t="s">
        <v>21</v>
      </c>
      <c r="H51" s="74" t="s">
        <v>469</v>
      </c>
      <c r="I51" s="72">
        <v>46060</v>
      </c>
      <c r="J51" s="75">
        <f t="shared" si="0"/>
        <v>348.88</v>
      </c>
      <c r="K51" s="75">
        <v>348.88</v>
      </c>
      <c r="L51" s="43">
        <f t="shared" si="1"/>
        <v>0</v>
      </c>
      <c r="M51" s="25"/>
      <c r="N51" s="70" t="s">
        <v>33</v>
      </c>
    </row>
    <row r="52" spans="2:14">
      <c r="B52" s="72">
        <v>46062</v>
      </c>
      <c r="C52" s="73" t="s">
        <v>15</v>
      </c>
      <c r="D52" s="74" t="s">
        <v>470</v>
      </c>
      <c r="E52" s="75">
        <v>397.83</v>
      </c>
      <c r="F52" s="119" t="s">
        <v>471</v>
      </c>
      <c r="G52" s="81"/>
      <c r="H52" s="74"/>
      <c r="I52" s="72">
        <v>46062</v>
      </c>
      <c r="J52" s="75">
        <f t="shared" si="0"/>
        <v>397.83</v>
      </c>
      <c r="K52" s="75">
        <v>397.83</v>
      </c>
      <c r="L52" s="43">
        <f t="shared" si="1"/>
        <v>0</v>
      </c>
      <c r="M52" s="25"/>
      <c r="N52" s="70" t="s">
        <v>23</v>
      </c>
    </row>
    <row r="53" spans="2:14">
      <c r="B53" s="19">
        <v>46062</v>
      </c>
      <c r="C53" s="20" t="s">
        <v>15</v>
      </c>
      <c r="D53" s="21" t="s">
        <v>472</v>
      </c>
      <c r="E53" s="22">
        <v>175.87</v>
      </c>
      <c r="F53" s="21" t="s">
        <v>29</v>
      </c>
      <c r="G53" s="21"/>
      <c r="H53" s="21" t="s">
        <v>473</v>
      </c>
      <c r="I53" s="19">
        <v>46062</v>
      </c>
      <c r="J53" s="22">
        <f t="shared" si="0"/>
        <v>175.87</v>
      </c>
      <c r="K53" s="22">
        <v>175.87</v>
      </c>
      <c r="L53" s="43">
        <f t="shared" si="1"/>
        <v>0</v>
      </c>
      <c r="M53" s="25"/>
      <c r="N53" s="24"/>
    </row>
    <row r="54" spans="2:14">
      <c r="B54" s="19">
        <v>46062</v>
      </c>
      <c r="C54" s="20" t="s">
        <v>15</v>
      </c>
      <c r="D54" s="21" t="s">
        <v>474</v>
      </c>
      <c r="E54" s="22">
        <v>556.03</v>
      </c>
      <c r="F54" s="21" t="s">
        <v>29</v>
      </c>
      <c r="G54" s="23"/>
      <c r="H54" s="21" t="s">
        <v>475</v>
      </c>
      <c r="I54" s="19">
        <v>46062</v>
      </c>
      <c r="J54" s="22">
        <f t="shared" si="0"/>
        <v>556.03</v>
      </c>
      <c r="K54" s="22">
        <v>556.03</v>
      </c>
      <c r="L54" s="43">
        <f t="shared" si="1"/>
        <v>0</v>
      </c>
      <c r="M54" s="25"/>
      <c r="N54" s="26"/>
    </row>
    <row r="55" spans="2:14">
      <c r="B55" s="19">
        <v>46062</v>
      </c>
      <c r="C55" s="20" t="s">
        <v>15</v>
      </c>
      <c r="D55" s="21" t="s">
        <v>476</v>
      </c>
      <c r="E55" s="22">
        <v>601.13</v>
      </c>
      <c r="F55" s="21" t="s">
        <v>17</v>
      </c>
      <c r="G55" s="28" t="s">
        <v>21</v>
      </c>
      <c r="H55" s="21" t="s">
        <v>477</v>
      </c>
      <c r="I55" s="19">
        <v>46062</v>
      </c>
      <c r="J55" s="22">
        <f t="shared" si="0"/>
        <v>601.13</v>
      </c>
      <c r="K55" s="22">
        <v>601.13</v>
      </c>
      <c r="L55" s="43">
        <f t="shared" si="1"/>
        <v>0</v>
      </c>
      <c r="M55" s="25"/>
      <c r="N55" s="31"/>
    </row>
    <row r="56" spans="2:14">
      <c r="B56" s="19">
        <v>46062</v>
      </c>
      <c r="C56" s="20" t="s">
        <v>15</v>
      </c>
      <c r="D56" s="21" t="s">
        <v>478</v>
      </c>
      <c r="E56" s="22">
        <v>786.37</v>
      </c>
      <c r="F56" s="21" t="s">
        <v>29</v>
      </c>
      <c r="G56" s="21"/>
      <c r="H56" s="21" t="s">
        <v>479</v>
      </c>
      <c r="I56" s="19">
        <v>46062</v>
      </c>
      <c r="J56" s="22">
        <f t="shared" si="0"/>
        <v>786.37</v>
      </c>
      <c r="K56" s="22">
        <v>786.37</v>
      </c>
      <c r="L56" s="43">
        <f t="shared" si="1"/>
        <v>0</v>
      </c>
      <c r="M56" s="25"/>
      <c r="N56" s="26"/>
    </row>
    <row r="57" spans="2:14">
      <c r="B57" s="19">
        <v>46062</v>
      </c>
      <c r="C57" s="20" t="s">
        <v>15</v>
      </c>
      <c r="D57" s="21" t="s">
        <v>480</v>
      </c>
      <c r="E57" s="22">
        <v>547.54</v>
      </c>
      <c r="F57" s="21" t="s">
        <v>29</v>
      </c>
      <c r="G57" s="23"/>
      <c r="H57" s="21" t="s">
        <v>481</v>
      </c>
      <c r="I57" s="19">
        <v>46062</v>
      </c>
      <c r="J57" s="22">
        <f t="shared" si="0"/>
        <v>547.54</v>
      </c>
      <c r="K57" s="22">
        <v>547.54</v>
      </c>
      <c r="L57" s="43">
        <f t="shared" si="1"/>
        <v>0</v>
      </c>
      <c r="M57" s="25"/>
      <c r="N57" s="31"/>
    </row>
    <row r="58" spans="2:14">
      <c r="B58" s="19">
        <v>46062</v>
      </c>
      <c r="C58" s="20" t="s">
        <v>15</v>
      </c>
      <c r="D58" s="21" t="s">
        <v>482</v>
      </c>
      <c r="E58" s="22">
        <v>101.49</v>
      </c>
      <c r="F58" s="21" t="s">
        <v>17</v>
      </c>
      <c r="G58" s="28" t="s">
        <v>21</v>
      </c>
      <c r="H58" s="21" t="s">
        <v>483</v>
      </c>
      <c r="I58" s="19">
        <v>46062</v>
      </c>
      <c r="J58" s="22">
        <f t="shared" si="0"/>
        <v>101.49</v>
      </c>
      <c r="K58" s="22">
        <v>101.49</v>
      </c>
      <c r="L58" s="43">
        <f t="shared" si="1"/>
        <v>0</v>
      </c>
      <c r="M58" s="25"/>
      <c r="N58" s="31"/>
    </row>
    <row r="59" spans="2:14">
      <c r="B59" s="19">
        <v>46062</v>
      </c>
      <c r="C59" s="20" t="s">
        <v>15</v>
      </c>
      <c r="D59" s="21" t="s">
        <v>484</v>
      </c>
      <c r="E59" s="22">
        <v>287.25</v>
      </c>
      <c r="F59" s="21" t="s">
        <v>29</v>
      </c>
      <c r="G59" s="21"/>
      <c r="H59" s="21" t="s">
        <v>485</v>
      </c>
      <c r="I59" s="19">
        <v>46062</v>
      </c>
      <c r="J59" s="22">
        <f t="shared" si="0"/>
        <v>287.25</v>
      </c>
      <c r="K59" s="22">
        <v>287.25</v>
      </c>
      <c r="L59" s="43">
        <f t="shared" si="1"/>
        <v>0</v>
      </c>
      <c r="M59" s="25"/>
      <c r="N59" s="31"/>
    </row>
    <row r="60" spans="2:14">
      <c r="B60" s="64">
        <v>46062</v>
      </c>
      <c r="C60" s="65" t="s">
        <v>15</v>
      </c>
      <c r="D60" s="66" t="s">
        <v>486</v>
      </c>
      <c r="E60" s="67">
        <v>140.97</v>
      </c>
      <c r="F60" s="66" t="s">
        <v>29</v>
      </c>
      <c r="G60" s="88"/>
      <c r="H60" s="66" t="s">
        <v>485</v>
      </c>
      <c r="I60" s="64">
        <v>46062</v>
      </c>
      <c r="J60" s="67">
        <f t="shared" si="0"/>
        <v>140.97</v>
      </c>
      <c r="K60" s="67">
        <v>140.97</v>
      </c>
      <c r="L60" s="43">
        <f t="shared" si="1"/>
        <v>0</v>
      </c>
      <c r="M60" s="25"/>
      <c r="N60" s="70" t="s">
        <v>366</v>
      </c>
    </row>
    <row r="61" spans="2:14">
      <c r="B61" s="19">
        <v>46063</v>
      </c>
      <c r="C61" s="20" t="s">
        <v>15</v>
      </c>
      <c r="D61" s="21" t="s">
        <v>487</v>
      </c>
      <c r="E61" s="22">
        <v>58.62</v>
      </c>
      <c r="F61" s="21" t="s">
        <v>29</v>
      </c>
      <c r="G61" s="21"/>
      <c r="H61" s="21" t="s">
        <v>488</v>
      </c>
      <c r="I61" s="19">
        <v>46063</v>
      </c>
      <c r="J61" s="22">
        <f t="shared" si="0"/>
        <v>58.62</v>
      </c>
      <c r="K61" s="22">
        <v>58.62</v>
      </c>
      <c r="L61" s="43">
        <f t="shared" si="1"/>
        <v>0</v>
      </c>
      <c r="M61" s="25"/>
      <c r="N61" s="24"/>
    </row>
    <row r="62" spans="2:14">
      <c r="B62" s="19">
        <v>46063</v>
      </c>
      <c r="C62" s="20" t="s">
        <v>15</v>
      </c>
      <c r="D62" s="21" t="s">
        <v>489</v>
      </c>
      <c r="E62" s="22">
        <v>199.87</v>
      </c>
      <c r="F62" s="21" t="s">
        <v>29</v>
      </c>
      <c r="G62" s="23"/>
      <c r="H62" s="21" t="s">
        <v>490</v>
      </c>
      <c r="I62" s="19">
        <v>46063</v>
      </c>
      <c r="J62" s="22">
        <f t="shared" si="0"/>
        <v>199.87</v>
      </c>
      <c r="K62" s="22">
        <v>199.87</v>
      </c>
      <c r="L62" s="43">
        <f t="shared" si="1"/>
        <v>0</v>
      </c>
      <c r="M62" s="25"/>
      <c r="N62" s="31"/>
    </row>
    <row r="63" spans="2:14">
      <c r="B63" s="72">
        <v>46063</v>
      </c>
      <c r="C63" s="73" t="s">
        <v>15</v>
      </c>
      <c r="D63" s="74" t="s">
        <v>491</v>
      </c>
      <c r="E63" s="75">
        <v>504.21</v>
      </c>
      <c r="F63" s="74" t="s">
        <v>17</v>
      </c>
      <c r="G63" s="81" t="s">
        <v>21</v>
      </c>
      <c r="H63" s="74" t="s">
        <v>492</v>
      </c>
      <c r="I63" s="72">
        <v>46063</v>
      </c>
      <c r="J63" s="75">
        <f t="shared" si="0"/>
        <v>504.21</v>
      </c>
      <c r="K63" s="75">
        <v>504.21</v>
      </c>
      <c r="L63" s="43">
        <f t="shared" si="1"/>
        <v>0</v>
      </c>
      <c r="M63" s="25"/>
      <c r="N63" s="70" t="s">
        <v>224</v>
      </c>
    </row>
    <row r="64" spans="2:14">
      <c r="B64" s="72"/>
      <c r="C64" s="73"/>
      <c r="D64" s="74"/>
      <c r="E64" s="75"/>
      <c r="F64" s="74"/>
      <c r="G64" s="81" t="s">
        <v>21</v>
      </c>
      <c r="H64" s="74" t="s">
        <v>493</v>
      </c>
      <c r="I64" s="72"/>
      <c r="J64" s="75"/>
      <c r="K64" s="75"/>
      <c r="L64" s="43"/>
      <c r="M64" s="25"/>
      <c r="N64" s="31"/>
    </row>
    <row r="65" spans="2:14">
      <c r="B65" s="72">
        <v>46063</v>
      </c>
      <c r="C65" s="73" t="s">
        <v>15</v>
      </c>
      <c r="D65" s="74" t="s">
        <v>494</v>
      </c>
      <c r="E65" s="75">
        <v>937.96</v>
      </c>
      <c r="F65" s="74" t="s">
        <v>17</v>
      </c>
      <c r="G65" s="81" t="s">
        <v>21</v>
      </c>
      <c r="H65" s="74" t="s">
        <v>495</v>
      </c>
      <c r="I65" s="72">
        <v>46063</v>
      </c>
      <c r="J65" s="75">
        <f t="shared" si="0"/>
        <v>937.96</v>
      </c>
      <c r="K65" s="75">
        <v>937.96</v>
      </c>
      <c r="L65" s="43">
        <f t="shared" si="1"/>
        <v>0</v>
      </c>
      <c r="M65" s="25"/>
      <c r="N65" s="70" t="s">
        <v>496</v>
      </c>
    </row>
    <row r="66" spans="2:14">
      <c r="B66" s="19">
        <v>46064</v>
      </c>
      <c r="C66" s="20" t="s">
        <v>15</v>
      </c>
      <c r="D66" s="21" t="s">
        <v>497</v>
      </c>
      <c r="E66" s="22">
        <v>1333.02</v>
      </c>
      <c r="F66" s="21" t="s">
        <v>17</v>
      </c>
      <c r="G66" s="21" t="s">
        <v>21</v>
      </c>
      <c r="H66" s="21" t="s">
        <v>498</v>
      </c>
      <c r="I66" s="19">
        <v>46064</v>
      </c>
      <c r="J66" s="22">
        <f t="shared" si="0"/>
        <v>1333.02</v>
      </c>
      <c r="K66" s="22">
        <v>1333.02</v>
      </c>
      <c r="L66" s="43">
        <f t="shared" si="1"/>
        <v>0</v>
      </c>
      <c r="M66" s="25"/>
      <c r="N66" s="31"/>
    </row>
    <row r="67" spans="2:14">
      <c r="B67" s="19">
        <v>46064</v>
      </c>
      <c r="C67" s="20" t="s">
        <v>15</v>
      </c>
      <c r="D67" s="21" t="s">
        <v>499</v>
      </c>
      <c r="E67" s="22">
        <v>561.69</v>
      </c>
      <c r="F67" s="21" t="s">
        <v>17</v>
      </c>
      <c r="G67" s="21" t="s">
        <v>21</v>
      </c>
      <c r="H67" s="21" t="s">
        <v>500</v>
      </c>
      <c r="I67" s="19">
        <v>46064</v>
      </c>
      <c r="J67" s="22">
        <f t="shared" si="0"/>
        <v>561.69</v>
      </c>
      <c r="K67" s="22">
        <v>561.69</v>
      </c>
      <c r="L67" s="43">
        <f t="shared" si="1"/>
        <v>0</v>
      </c>
      <c r="M67" s="25"/>
      <c r="N67" s="31"/>
    </row>
    <row r="68" spans="2:14">
      <c r="B68" s="19">
        <v>46064</v>
      </c>
      <c r="C68" s="20" t="s">
        <v>15</v>
      </c>
      <c r="D68" s="21" t="s">
        <v>501</v>
      </c>
      <c r="E68" s="22">
        <v>90.78</v>
      </c>
      <c r="F68" s="21" t="s">
        <v>29</v>
      </c>
      <c r="G68" s="21"/>
      <c r="H68" s="21" t="s">
        <v>502</v>
      </c>
      <c r="I68" s="19">
        <v>46064</v>
      </c>
      <c r="J68" s="22">
        <f t="shared" ref="J68:J101" si="2">E68</f>
        <v>90.78</v>
      </c>
      <c r="K68" s="22">
        <v>90.78</v>
      </c>
      <c r="L68" s="43">
        <f t="shared" ref="L68:L133" si="3">J68-K68</f>
        <v>0</v>
      </c>
      <c r="M68" s="25"/>
      <c r="N68" s="31"/>
    </row>
    <row r="69" spans="2:14">
      <c r="B69" s="72">
        <v>46064</v>
      </c>
      <c r="C69" s="73" t="s">
        <v>15</v>
      </c>
      <c r="D69" s="74" t="s">
        <v>503</v>
      </c>
      <c r="E69" s="75">
        <v>186.76</v>
      </c>
      <c r="F69" s="74" t="s">
        <v>17</v>
      </c>
      <c r="G69" s="74" t="s">
        <v>21</v>
      </c>
      <c r="H69" s="74" t="s">
        <v>504</v>
      </c>
      <c r="I69" s="72">
        <v>46064</v>
      </c>
      <c r="J69" s="75">
        <f t="shared" si="2"/>
        <v>186.76</v>
      </c>
      <c r="K69" s="75">
        <v>186.76</v>
      </c>
      <c r="L69" s="43">
        <f t="shared" si="3"/>
        <v>0</v>
      </c>
      <c r="M69" s="25"/>
      <c r="N69" s="70" t="s">
        <v>33</v>
      </c>
    </row>
    <row r="70" spans="2:14">
      <c r="B70" s="72">
        <v>46064</v>
      </c>
      <c r="C70" s="73" t="s">
        <v>15</v>
      </c>
      <c r="D70" s="74" t="s">
        <v>505</v>
      </c>
      <c r="E70" s="75">
        <v>212.09</v>
      </c>
      <c r="F70" s="74" t="s">
        <v>29</v>
      </c>
      <c r="G70" s="74"/>
      <c r="H70" s="74" t="s">
        <v>506</v>
      </c>
      <c r="I70" s="72">
        <v>46064</v>
      </c>
      <c r="J70" s="75">
        <f t="shared" si="2"/>
        <v>212.09</v>
      </c>
      <c r="K70" s="75">
        <v>212.09</v>
      </c>
      <c r="L70" s="43">
        <f t="shared" si="3"/>
        <v>0</v>
      </c>
      <c r="M70" s="25"/>
      <c r="N70" s="70" t="s">
        <v>63</v>
      </c>
    </row>
    <row r="71" spans="2:14">
      <c r="B71" s="72">
        <v>46064</v>
      </c>
      <c r="C71" s="73" t="s">
        <v>15</v>
      </c>
      <c r="D71" s="74" t="s">
        <v>507</v>
      </c>
      <c r="E71" s="75">
        <v>362.55</v>
      </c>
      <c r="F71" s="74" t="s">
        <v>17</v>
      </c>
      <c r="G71" s="74" t="s">
        <v>21</v>
      </c>
      <c r="H71" s="74" t="s">
        <v>508</v>
      </c>
      <c r="I71" s="72">
        <v>46064</v>
      </c>
      <c r="J71" s="75">
        <f t="shared" si="2"/>
        <v>362.55</v>
      </c>
      <c r="K71" s="75">
        <v>362.55</v>
      </c>
      <c r="L71" s="43">
        <f t="shared" si="3"/>
        <v>0</v>
      </c>
      <c r="M71" s="25"/>
      <c r="N71" s="70" t="s">
        <v>33</v>
      </c>
    </row>
    <row r="72" spans="2:14">
      <c r="B72" s="19">
        <v>46064</v>
      </c>
      <c r="C72" s="20" t="s">
        <v>15</v>
      </c>
      <c r="D72" s="21" t="s">
        <v>509</v>
      </c>
      <c r="E72" s="22">
        <v>90.84</v>
      </c>
      <c r="F72" s="21" t="s">
        <v>29</v>
      </c>
      <c r="G72" s="21"/>
      <c r="H72" s="21" t="s">
        <v>510</v>
      </c>
      <c r="I72" s="19">
        <v>46064</v>
      </c>
      <c r="J72" s="22">
        <f t="shared" si="2"/>
        <v>90.84</v>
      </c>
      <c r="K72" s="22">
        <v>90.84</v>
      </c>
      <c r="L72" s="43">
        <f t="shared" si="3"/>
        <v>0</v>
      </c>
      <c r="M72" s="25"/>
      <c r="N72" s="31"/>
    </row>
    <row r="73" spans="2:14">
      <c r="B73" s="72">
        <v>46064</v>
      </c>
      <c r="C73" s="73" t="s">
        <v>15</v>
      </c>
      <c r="D73" s="74" t="s">
        <v>511</v>
      </c>
      <c r="E73" s="75">
        <v>654.84</v>
      </c>
      <c r="F73" s="74" t="s">
        <v>17</v>
      </c>
      <c r="G73" s="74" t="s">
        <v>21</v>
      </c>
      <c r="H73" s="74" t="s">
        <v>512</v>
      </c>
      <c r="I73" s="72">
        <v>46064</v>
      </c>
      <c r="J73" s="75">
        <f t="shared" si="2"/>
        <v>654.84</v>
      </c>
      <c r="K73" s="75">
        <v>654.84</v>
      </c>
      <c r="L73" s="43">
        <f t="shared" si="3"/>
        <v>0</v>
      </c>
      <c r="M73" s="25"/>
      <c r="N73" s="70" t="s">
        <v>23</v>
      </c>
    </row>
    <row r="74" spans="2:14">
      <c r="B74" s="72">
        <v>46064</v>
      </c>
      <c r="C74" s="73" t="s">
        <v>15</v>
      </c>
      <c r="D74" s="74" t="s">
        <v>513</v>
      </c>
      <c r="E74" s="75">
        <v>83.93</v>
      </c>
      <c r="F74" s="74" t="s">
        <v>29</v>
      </c>
      <c r="G74" s="74"/>
      <c r="H74" s="74" t="s">
        <v>514</v>
      </c>
      <c r="I74" s="72">
        <v>46064</v>
      </c>
      <c r="J74" s="75">
        <f t="shared" si="2"/>
        <v>83.93</v>
      </c>
      <c r="K74" s="75">
        <v>83.93</v>
      </c>
      <c r="L74" s="43">
        <f t="shared" si="3"/>
        <v>0</v>
      </c>
      <c r="M74" s="25"/>
      <c r="N74" s="70" t="s">
        <v>60</v>
      </c>
    </row>
    <row r="75" spans="2:14">
      <c r="B75" s="19">
        <v>46064</v>
      </c>
      <c r="C75" s="20" t="s">
        <v>15</v>
      </c>
      <c r="D75" s="21" t="s">
        <v>515</v>
      </c>
      <c r="E75" s="22">
        <v>174.44</v>
      </c>
      <c r="F75" s="21" t="s">
        <v>516</v>
      </c>
      <c r="G75" s="21"/>
      <c r="H75" s="21"/>
      <c r="I75" s="19">
        <v>46064</v>
      </c>
      <c r="J75" s="22">
        <f t="shared" si="2"/>
        <v>174.44</v>
      </c>
      <c r="K75" s="22">
        <v>174.44</v>
      </c>
      <c r="L75" s="43">
        <f t="shared" si="3"/>
        <v>0</v>
      </c>
      <c r="M75" s="25"/>
      <c r="N75" s="26"/>
    </row>
    <row r="76" spans="2:14">
      <c r="B76" s="19">
        <v>46064</v>
      </c>
      <c r="C76" s="20" t="s">
        <v>15</v>
      </c>
      <c r="D76" s="21" t="s">
        <v>517</v>
      </c>
      <c r="E76" s="22">
        <v>159.66</v>
      </c>
      <c r="F76" s="21" t="s">
        <v>17</v>
      </c>
      <c r="G76" s="21"/>
      <c r="H76" s="21" t="s">
        <v>518</v>
      </c>
      <c r="I76" s="19">
        <v>46064</v>
      </c>
      <c r="J76" s="22">
        <f t="shared" si="2"/>
        <v>159.66</v>
      </c>
      <c r="K76" s="22">
        <v>159.66</v>
      </c>
      <c r="L76" s="43">
        <f t="shared" si="3"/>
        <v>0</v>
      </c>
      <c r="M76" s="25"/>
      <c r="N76" s="26"/>
    </row>
    <row r="77" spans="2:14">
      <c r="B77" s="19">
        <v>46064</v>
      </c>
      <c r="C77" s="20" t="s">
        <v>64</v>
      </c>
      <c r="D77" s="21" t="s">
        <v>519</v>
      </c>
      <c r="E77" s="22">
        <v>182.53</v>
      </c>
      <c r="F77" s="21" t="s">
        <v>29</v>
      </c>
      <c r="G77" s="21"/>
      <c r="H77" s="21" t="s">
        <v>520</v>
      </c>
      <c r="I77" s="19">
        <v>46064</v>
      </c>
      <c r="J77" s="22">
        <f t="shared" si="2"/>
        <v>182.53</v>
      </c>
      <c r="K77" s="22">
        <v>182.53</v>
      </c>
      <c r="L77" s="43">
        <f t="shared" si="3"/>
        <v>0</v>
      </c>
      <c r="M77" s="25"/>
      <c r="N77" s="26"/>
    </row>
    <row r="78" spans="2:14">
      <c r="B78" s="97">
        <v>46064</v>
      </c>
      <c r="C78" s="98" t="s">
        <v>15</v>
      </c>
      <c r="D78" s="99" t="s">
        <v>521</v>
      </c>
      <c r="E78" s="100">
        <v>514.84</v>
      </c>
      <c r="F78" s="99" t="s">
        <v>17</v>
      </c>
      <c r="G78" s="99" t="s">
        <v>18</v>
      </c>
      <c r="H78" s="99" t="s">
        <v>522</v>
      </c>
      <c r="I78" s="97">
        <v>46064</v>
      </c>
      <c r="J78" s="100">
        <f t="shared" si="2"/>
        <v>514.84</v>
      </c>
      <c r="K78" s="100">
        <v>514.84</v>
      </c>
      <c r="L78" s="43">
        <f t="shared" si="3"/>
        <v>0</v>
      </c>
      <c r="M78" s="25"/>
      <c r="N78" s="70" t="s">
        <v>56</v>
      </c>
    </row>
    <row r="79" spans="2:14">
      <c r="B79" s="97">
        <v>46064</v>
      </c>
      <c r="C79" s="98" t="s">
        <v>15</v>
      </c>
      <c r="D79" s="99" t="s">
        <v>523</v>
      </c>
      <c r="E79" s="100">
        <v>526.28</v>
      </c>
      <c r="F79" s="99" t="s">
        <v>17</v>
      </c>
      <c r="G79" s="99" t="s">
        <v>18</v>
      </c>
      <c r="H79" s="99" t="s">
        <v>524</v>
      </c>
      <c r="I79" s="97">
        <v>46064</v>
      </c>
      <c r="J79" s="100">
        <f t="shared" si="2"/>
        <v>526.28</v>
      </c>
      <c r="K79" s="100">
        <v>526.28</v>
      </c>
      <c r="L79" s="43">
        <f t="shared" si="3"/>
        <v>0</v>
      </c>
      <c r="M79" s="25"/>
      <c r="N79" s="70" t="s">
        <v>56</v>
      </c>
    </row>
    <row r="80" spans="2:14">
      <c r="B80" s="19">
        <v>46065</v>
      </c>
      <c r="C80" s="20" t="s">
        <v>15</v>
      </c>
      <c r="D80" s="21" t="s">
        <v>525</v>
      </c>
      <c r="E80" s="22">
        <v>101.49</v>
      </c>
      <c r="F80" s="21" t="s">
        <v>29</v>
      </c>
      <c r="G80" s="21"/>
      <c r="H80" s="21" t="s">
        <v>526</v>
      </c>
      <c r="I80" s="19">
        <v>46065</v>
      </c>
      <c r="J80" s="22">
        <f t="shared" si="2"/>
        <v>101.49</v>
      </c>
      <c r="K80" s="22">
        <v>101.49</v>
      </c>
      <c r="L80" s="43">
        <f t="shared" si="3"/>
        <v>0</v>
      </c>
      <c r="M80" s="25"/>
      <c r="N80" s="31"/>
    </row>
    <row r="81" spans="2:14">
      <c r="B81" s="19">
        <v>46065</v>
      </c>
      <c r="C81" s="20" t="s">
        <v>15</v>
      </c>
      <c r="D81" s="21" t="s">
        <v>527</v>
      </c>
      <c r="E81" s="22">
        <v>902.91</v>
      </c>
      <c r="F81" s="21" t="s">
        <v>17</v>
      </c>
      <c r="G81" s="21" t="s">
        <v>21</v>
      </c>
      <c r="H81" s="21" t="s">
        <v>528</v>
      </c>
      <c r="I81" s="19">
        <v>46065</v>
      </c>
      <c r="J81" s="22">
        <f t="shared" si="2"/>
        <v>902.91</v>
      </c>
      <c r="K81" s="22">
        <v>902.91</v>
      </c>
      <c r="L81" s="43">
        <f t="shared" si="3"/>
        <v>0</v>
      </c>
      <c r="M81" s="25"/>
      <c r="N81" s="26"/>
    </row>
    <row r="82" spans="2:14">
      <c r="B82" s="72">
        <v>46065</v>
      </c>
      <c r="C82" s="73" t="s">
        <v>15</v>
      </c>
      <c r="D82" s="74" t="s">
        <v>529</v>
      </c>
      <c r="E82" s="75">
        <v>57.9</v>
      </c>
      <c r="F82" s="74" t="s">
        <v>17</v>
      </c>
      <c r="G82" s="74" t="s">
        <v>21</v>
      </c>
      <c r="H82" s="74" t="s">
        <v>530</v>
      </c>
      <c r="I82" s="72">
        <v>46065</v>
      </c>
      <c r="J82" s="75">
        <f t="shared" si="2"/>
        <v>57.9</v>
      </c>
      <c r="K82" s="75">
        <v>57.9</v>
      </c>
      <c r="L82" s="43">
        <f t="shared" si="3"/>
        <v>0</v>
      </c>
      <c r="M82" s="25"/>
      <c r="N82" s="70" t="s">
        <v>39</v>
      </c>
    </row>
    <row r="83" spans="2:14">
      <c r="B83" s="19">
        <v>46065</v>
      </c>
      <c r="C83" s="20" t="s">
        <v>15</v>
      </c>
      <c r="D83" s="21" t="s">
        <v>531</v>
      </c>
      <c r="E83" s="22">
        <v>202.99</v>
      </c>
      <c r="F83" s="21" t="s">
        <v>17</v>
      </c>
      <c r="G83" s="21" t="s">
        <v>21</v>
      </c>
      <c r="H83" s="104" t="s">
        <v>532</v>
      </c>
      <c r="I83" s="19">
        <v>46065</v>
      </c>
      <c r="J83" s="22">
        <f t="shared" si="2"/>
        <v>202.99</v>
      </c>
      <c r="K83" s="22">
        <v>202.99</v>
      </c>
      <c r="L83" s="43">
        <f t="shared" si="3"/>
        <v>0</v>
      </c>
      <c r="M83" s="25"/>
      <c r="N83" s="26"/>
    </row>
    <row r="84" spans="2:14">
      <c r="B84" s="72">
        <v>46065</v>
      </c>
      <c r="C84" s="73" t="s">
        <v>15</v>
      </c>
      <c r="D84" s="74" t="s">
        <v>533</v>
      </c>
      <c r="E84" s="75">
        <v>1081.91</v>
      </c>
      <c r="F84" s="74" t="s">
        <v>17</v>
      </c>
      <c r="G84" s="74" t="s">
        <v>18</v>
      </c>
      <c r="H84" s="74" t="s">
        <v>534</v>
      </c>
      <c r="I84" s="72">
        <v>46065</v>
      </c>
      <c r="J84" s="75">
        <f t="shared" si="2"/>
        <v>1081.91</v>
      </c>
      <c r="K84" s="75">
        <v>1081.91</v>
      </c>
      <c r="L84" s="43">
        <f t="shared" si="3"/>
        <v>0</v>
      </c>
      <c r="M84" s="25"/>
      <c r="N84" s="70" t="s">
        <v>211</v>
      </c>
    </row>
    <row r="85" spans="2:14">
      <c r="B85" s="19">
        <v>46065</v>
      </c>
      <c r="C85" s="20" t="s">
        <v>15</v>
      </c>
      <c r="D85" s="21" t="s">
        <v>535</v>
      </c>
      <c r="E85" s="22">
        <v>79.76</v>
      </c>
      <c r="F85" s="21" t="s">
        <v>17</v>
      </c>
      <c r="G85" s="21" t="s">
        <v>21</v>
      </c>
      <c r="H85" s="21" t="s">
        <v>536</v>
      </c>
      <c r="I85" s="19">
        <v>46065</v>
      </c>
      <c r="J85" s="22">
        <f t="shared" si="2"/>
        <v>79.76</v>
      </c>
      <c r="K85" s="22">
        <v>79.76</v>
      </c>
      <c r="L85" s="43">
        <f t="shared" si="3"/>
        <v>0</v>
      </c>
      <c r="M85" s="25"/>
      <c r="N85" s="26"/>
    </row>
    <row r="86" spans="2:14">
      <c r="B86" s="19">
        <v>46065</v>
      </c>
      <c r="C86" s="20" t="s">
        <v>15</v>
      </c>
      <c r="D86" s="21" t="s">
        <v>537</v>
      </c>
      <c r="E86" s="22">
        <v>478.55</v>
      </c>
      <c r="F86" s="21" t="s">
        <v>17</v>
      </c>
      <c r="G86" s="21" t="s">
        <v>21</v>
      </c>
      <c r="H86" s="21" t="s">
        <v>538</v>
      </c>
      <c r="I86" s="19">
        <v>46065</v>
      </c>
      <c r="J86" s="22">
        <f t="shared" si="2"/>
        <v>478.55</v>
      </c>
      <c r="K86" s="22">
        <v>478.55</v>
      </c>
      <c r="L86" s="43">
        <f t="shared" si="3"/>
        <v>0</v>
      </c>
      <c r="M86" s="25"/>
      <c r="N86" s="31"/>
    </row>
    <row r="87" spans="2:14">
      <c r="B87" s="97">
        <v>46065</v>
      </c>
      <c r="C87" s="98" t="s">
        <v>15</v>
      </c>
      <c r="D87" s="99" t="s">
        <v>539</v>
      </c>
      <c r="E87" s="100">
        <v>499.7</v>
      </c>
      <c r="F87" s="99" t="s">
        <v>29</v>
      </c>
      <c r="G87" s="99"/>
      <c r="H87" s="99" t="s">
        <v>540</v>
      </c>
      <c r="I87" s="97">
        <v>46065</v>
      </c>
      <c r="J87" s="100">
        <f t="shared" si="2"/>
        <v>499.7</v>
      </c>
      <c r="K87" s="100">
        <v>499.7</v>
      </c>
      <c r="L87" s="43">
        <f t="shared" si="3"/>
        <v>0</v>
      </c>
      <c r="M87" s="25"/>
      <c r="N87" s="70" t="s">
        <v>56</v>
      </c>
    </row>
    <row r="88" spans="2:14">
      <c r="B88" s="72">
        <v>46066</v>
      </c>
      <c r="C88" s="73" t="s">
        <v>15</v>
      </c>
      <c r="D88" s="74" t="s">
        <v>541</v>
      </c>
      <c r="E88" s="75">
        <v>115.79</v>
      </c>
      <c r="F88" s="74" t="s">
        <v>17</v>
      </c>
      <c r="G88" s="74" t="s">
        <v>21</v>
      </c>
      <c r="H88" s="74" t="s">
        <v>542</v>
      </c>
      <c r="I88" s="72">
        <v>46066</v>
      </c>
      <c r="J88" s="75">
        <f t="shared" si="2"/>
        <v>115.79</v>
      </c>
      <c r="K88" s="75">
        <v>115.79</v>
      </c>
      <c r="L88" s="43">
        <f t="shared" si="3"/>
        <v>0</v>
      </c>
      <c r="M88" s="25"/>
      <c r="N88" s="70" t="s">
        <v>39</v>
      </c>
    </row>
    <row r="89" spans="2:14">
      <c r="B89" s="72">
        <v>46066</v>
      </c>
      <c r="C89" s="73" t="s">
        <v>15</v>
      </c>
      <c r="D89" s="74" t="s">
        <v>543</v>
      </c>
      <c r="E89" s="75">
        <v>2098.2</v>
      </c>
      <c r="F89" s="74" t="s">
        <v>29</v>
      </c>
      <c r="G89" s="74"/>
      <c r="H89" s="74" t="s">
        <v>544</v>
      </c>
      <c r="I89" s="72">
        <v>46066</v>
      </c>
      <c r="J89" s="75">
        <f t="shared" si="2"/>
        <v>2098.2</v>
      </c>
      <c r="K89" s="75">
        <v>2098.2</v>
      </c>
      <c r="L89" s="43">
        <f t="shared" si="3"/>
        <v>0</v>
      </c>
      <c r="M89" s="25"/>
      <c r="N89" s="70" t="s">
        <v>23</v>
      </c>
    </row>
    <row r="90" spans="2:14">
      <c r="B90" s="72">
        <v>46066</v>
      </c>
      <c r="C90" s="73" t="s">
        <v>15</v>
      </c>
      <c r="D90" s="74" t="s">
        <v>545</v>
      </c>
      <c r="E90" s="75">
        <v>77.42</v>
      </c>
      <c r="F90" s="74" t="s">
        <v>17</v>
      </c>
      <c r="G90" s="74" t="s">
        <v>21</v>
      </c>
      <c r="H90" s="74" t="s">
        <v>546</v>
      </c>
      <c r="I90" s="72">
        <v>46066</v>
      </c>
      <c r="J90" s="75">
        <f t="shared" si="2"/>
        <v>77.42</v>
      </c>
      <c r="K90" s="75">
        <v>77.42</v>
      </c>
      <c r="L90" s="43">
        <f t="shared" si="3"/>
        <v>0</v>
      </c>
      <c r="M90" s="25"/>
      <c r="N90" s="70" t="s">
        <v>39</v>
      </c>
    </row>
    <row r="91" spans="2:14">
      <c r="B91" s="72">
        <v>46066</v>
      </c>
      <c r="C91" s="73" t="s">
        <v>15</v>
      </c>
      <c r="D91" s="74" t="s">
        <v>547</v>
      </c>
      <c r="E91" s="75">
        <v>56.3</v>
      </c>
      <c r="F91" s="74" t="s">
        <v>17</v>
      </c>
      <c r="G91" s="74" t="s">
        <v>21</v>
      </c>
      <c r="H91" s="74" t="s">
        <v>548</v>
      </c>
      <c r="I91" s="72">
        <v>46066</v>
      </c>
      <c r="J91" s="75">
        <f t="shared" si="2"/>
        <v>56.3</v>
      </c>
      <c r="K91" s="75">
        <v>56.3</v>
      </c>
      <c r="L91" s="43">
        <f t="shared" si="3"/>
        <v>0</v>
      </c>
      <c r="M91" s="25"/>
      <c r="N91" s="70" t="s">
        <v>60</v>
      </c>
    </row>
    <row r="92" spans="2:14">
      <c r="B92" s="72">
        <v>46066</v>
      </c>
      <c r="C92" s="73" t="s">
        <v>15</v>
      </c>
      <c r="D92" s="74" t="s">
        <v>549</v>
      </c>
      <c r="E92" s="75">
        <v>120.87</v>
      </c>
      <c r="F92" s="74" t="s">
        <v>17</v>
      </c>
      <c r="G92" s="74" t="s">
        <v>21</v>
      </c>
      <c r="H92" s="74" t="s">
        <v>550</v>
      </c>
      <c r="I92" s="72">
        <v>46066</v>
      </c>
      <c r="J92" s="75">
        <f t="shared" si="2"/>
        <v>120.87</v>
      </c>
      <c r="K92" s="75">
        <v>120.87</v>
      </c>
      <c r="L92" s="43">
        <f t="shared" si="3"/>
        <v>0</v>
      </c>
      <c r="M92" s="25"/>
      <c r="N92" s="70" t="s">
        <v>39</v>
      </c>
    </row>
    <row r="93" spans="2:14">
      <c r="B93" s="19">
        <v>46066</v>
      </c>
      <c r="C93" s="20" t="s">
        <v>15</v>
      </c>
      <c r="D93" s="21" t="s">
        <v>551</v>
      </c>
      <c r="E93" s="22">
        <v>507.46</v>
      </c>
      <c r="F93" s="21" t="s">
        <v>17</v>
      </c>
      <c r="G93" s="21" t="s">
        <v>37</v>
      </c>
      <c r="H93" s="21" t="s">
        <v>552</v>
      </c>
      <c r="I93" s="19">
        <v>46066</v>
      </c>
      <c r="J93" s="22">
        <f t="shared" si="2"/>
        <v>507.46</v>
      </c>
      <c r="K93" s="22">
        <v>507.46</v>
      </c>
      <c r="L93" s="43">
        <f t="shared" si="3"/>
        <v>0</v>
      </c>
      <c r="M93" s="25"/>
      <c r="N93" s="26"/>
    </row>
    <row r="94" spans="2:14">
      <c r="B94" s="19">
        <v>46066</v>
      </c>
      <c r="C94" s="20" t="s">
        <v>64</v>
      </c>
      <c r="D94" s="21" t="s">
        <v>553</v>
      </c>
      <c r="E94" s="22">
        <v>1099.85</v>
      </c>
      <c r="F94" s="21" t="s">
        <v>17</v>
      </c>
      <c r="G94" s="21" t="s">
        <v>21</v>
      </c>
      <c r="H94" s="21" t="s">
        <v>554</v>
      </c>
      <c r="I94" s="19">
        <v>46066</v>
      </c>
      <c r="J94" s="22">
        <f t="shared" si="2"/>
        <v>1099.85</v>
      </c>
      <c r="K94" s="22">
        <v>1099.85</v>
      </c>
      <c r="L94" s="43">
        <f t="shared" si="3"/>
        <v>0</v>
      </c>
      <c r="M94" s="25"/>
      <c r="N94" s="31"/>
    </row>
    <row r="95" spans="2:14">
      <c r="B95" s="19">
        <v>46066</v>
      </c>
      <c r="C95" s="20" t="s">
        <v>64</v>
      </c>
      <c r="D95" s="21" t="s">
        <v>555</v>
      </c>
      <c r="E95" s="22">
        <v>451.56</v>
      </c>
      <c r="F95" s="21" t="s">
        <v>29</v>
      </c>
      <c r="G95" s="21"/>
      <c r="H95" s="21" t="s">
        <v>556</v>
      </c>
      <c r="I95" s="19">
        <v>46066</v>
      </c>
      <c r="J95" s="22">
        <f t="shared" si="2"/>
        <v>451.56</v>
      </c>
      <c r="K95" s="22">
        <v>451.56</v>
      </c>
      <c r="L95" s="43">
        <f t="shared" si="3"/>
        <v>0</v>
      </c>
      <c r="M95" s="25"/>
      <c r="N95" s="31"/>
    </row>
    <row r="96" spans="2:14">
      <c r="B96" s="72">
        <v>46067</v>
      </c>
      <c r="C96" s="73" t="s">
        <v>15</v>
      </c>
      <c r="D96" s="74" t="s">
        <v>557</v>
      </c>
      <c r="E96" s="75">
        <v>198.36</v>
      </c>
      <c r="F96" s="74" t="s">
        <v>17</v>
      </c>
      <c r="G96" s="74" t="s">
        <v>18</v>
      </c>
      <c r="H96" s="74" t="s">
        <v>558</v>
      </c>
      <c r="I96" s="72">
        <v>46067</v>
      </c>
      <c r="J96" s="75">
        <f t="shared" si="2"/>
        <v>198.36</v>
      </c>
      <c r="K96" s="75">
        <v>198.36</v>
      </c>
      <c r="L96" s="43">
        <f t="shared" si="3"/>
        <v>0</v>
      </c>
      <c r="M96" s="25"/>
      <c r="N96" s="70" t="s">
        <v>33</v>
      </c>
    </row>
    <row r="97" spans="2:14">
      <c r="B97" s="72">
        <v>46067</v>
      </c>
      <c r="C97" s="73" t="s">
        <v>15</v>
      </c>
      <c r="D97" s="74" t="s">
        <v>559</v>
      </c>
      <c r="E97" s="75">
        <v>60.43</v>
      </c>
      <c r="F97" s="74" t="s">
        <v>29</v>
      </c>
      <c r="G97" s="74"/>
      <c r="H97" s="74" t="s">
        <v>560</v>
      </c>
      <c r="I97" s="72">
        <v>46067</v>
      </c>
      <c r="J97" s="75">
        <f t="shared" si="2"/>
        <v>60.43</v>
      </c>
      <c r="K97" s="75">
        <v>60.43</v>
      </c>
      <c r="L97" s="43">
        <f t="shared" si="3"/>
        <v>0</v>
      </c>
      <c r="M97" s="25"/>
      <c r="N97" s="70" t="s">
        <v>33</v>
      </c>
    </row>
    <row r="98" spans="2:14">
      <c r="B98" s="19">
        <v>46067</v>
      </c>
      <c r="C98" s="20" t="s">
        <v>15</v>
      </c>
      <c r="D98" s="21" t="s">
        <v>561</v>
      </c>
      <c r="E98" s="22">
        <v>216.76</v>
      </c>
      <c r="F98" s="21" t="s">
        <v>17</v>
      </c>
      <c r="G98" s="21" t="s">
        <v>21</v>
      </c>
      <c r="H98" s="21" t="s">
        <v>562</v>
      </c>
      <c r="I98" s="19">
        <v>46067</v>
      </c>
      <c r="J98" s="22">
        <f t="shared" si="2"/>
        <v>216.76</v>
      </c>
      <c r="K98" s="22">
        <v>216.76</v>
      </c>
      <c r="L98" s="43">
        <f t="shared" si="3"/>
        <v>0</v>
      </c>
      <c r="M98" s="25"/>
      <c r="N98" s="26"/>
    </row>
    <row r="99" spans="2:14">
      <c r="B99" s="72">
        <v>46067</v>
      </c>
      <c r="C99" s="73" t="s">
        <v>15</v>
      </c>
      <c r="D99" s="74" t="s">
        <v>563</v>
      </c>
      <c r="E99" s="75">
        <v>99.29</v>
      </c>
      <c r="F99" s="74" t="s">
        <v>17</v>
      </c>
      <c r="G99" s="74" t="s">
        <v>21</v>
      </c>
      <c r="H99" s="74" t="s">
        <v>564</v>
      </c>
      <c r="I99" s="72">
        <v>46067</v>
      </c>
      <c r="J99" s="75">
        <f t="shared" si="2"/>
        <v>99.29</v>
      </c>
      <c r="K99" s="75">
        <v>97.3</v>
      </c>
      <c r="L99" s="43">
        <f t="shared" si="3"/>
        <v>1.99000000000001</v>
      </c>
      <c r="M99" s="25"/>
      <c r="N99" s="70" t="s">
        <v>224</v>
      </c>
    </row>
    <row r="100" spans="2:14">
      <c r="B100" s="72"/>
      <c r="C100" s="73"/>
      <c r="D100" s="74"/>
      <c r="E100" s="75"/>
      <c r="F100" s="74"/>
      <c r="G100" s="74" t="s">
        <v>21</v>
      </c>
      <c r="H100" s="105" t="s">
        <v>565</v>
      </c>
      <c r="I100" s="72">
        <v>46067</v>
      </c>
      <c r="J100" s="75">
        <f t="shared" si="2"/>
        <v>0</v>
      </c>
      <c r="K100" s="75">
        <v>2</v>
      </c>
      <c r="L100" s="43">
        <f t="shared" si="3"/>
        <v>-2</v>
      </c>
      <c r="M100" s="25"/>
      <c r="N100" s="26"/>
    </row>
    <row r="101" spans="2:14">
      <c r="B101" s="19">
        <v>46067</v>
      </c>
      <c r="C101" s="20" t="s">
        <v>15</v>
      </c>
      <c r="D101" s="21" t="s">
        <v>566</v>
      </c>
      <c r="E101" s="22">
        <v>437.63</v>
      </c>
      <c r="F101" s="21" t="s">
        <v>17</v>
      </c>
      <c r="G101" s="21" t="s">
        <v>21</v>
      </c>
      <c r="H101" s="68" t="s">
        <v>567</v>
      </c>
      <c r="I101" s="19">
        <v>46067</v>
      </c>
      <c r="J101" s="22">
        <f t="shared" si="2"/>
        <v>437.63</v>
      </c>
      <c r="K101" s="22">
        <v>437.63</v>
      </c>
      <c r="L101" s="43">
        <f t="shared" si="3"/>
        <v>0</v>
      </c>
      <c r="M101" s="25"/>
      <c r="N101" s="26"/>
    </row>
    <row r="102" spans="2:14">
      <c r="B102" s="19">
        <v>46067</v>
      </c>
      <c r="C102" s="20" t="s">
        <v>15</v>
      </c>
      <c r="D102" s="21" t="s">
        <v>568</v>
      </c>
      <c r="E102" s="22">
        <v>79.76</v>
      </c>
      <c r="F102" s="21" t="s">
        <v>17</v>
      </c>
      <c r="G102" s="21" t="s">
        <v>21</v>
      </c>
      <c r="H102" s="21" t="s">
        <v>569</v>
      </c>
      <c r="I102" s="19">
        <v>46067</v>
      </c>
      <c r="J102" s="22">
        <f t="shared" ref="J102:J166" si="4">E102</f>
        <v>79.76</v>
      </c>
      <c r="K102" s="22">
        <v>79.76</v>
      </c>
      <c r="L102" s="43">
        <f t="shared" si="3"/>
        <v>0</v>
      </c>
      <c r="M102" s="25"/>
      <c r="N102" s="31"/>
    </row>
    <row r="103" spans="2:14">
      <c r="B103" s="72">
        <v>46069</v>
      </c>
      <c r="C103" s="73" t="s">
        <v>15</v>
      </c>
      <c r="D103" s="74" t="s">
        <v>570</v>
      </c>
      <c r="E103" s="75">
        <v>622.7</v>
      </c>
      <c r="F103" s="74" t="s">
        <v>17</v>
      </c>
      <c r="G103" s="74" t="s">
        <v>21</v>
      </c>
      <c r="H103" s="74" t="s">
        <v>571</v>
      </c>
      <c r="I103" s="72">
        <v>46069</v>
      </c>
      <c r="J103" s="75">
        <f t="shared" si="4"/>
        <v>622.7</v>
      </c>
      <c r="K103" s="75">
        <v>622.7</v>
      </c>
      <c r="L103" s="43">
        <f t="shared" si="3"/>
        <v>0</v>
      </c>
      <c r="M103" s="25"/>
      <c r="N103" s="70" t="s">
        <v>39</v>
      </c>
    </row>
    <row r="104" spans="2:14">
      <c r="B104" s="72">
        <v>46069</v>
      </c>
      <c r="C104" s="73" t="s">
        <v>15</v>
      </c>
      <c r="D104" s="74" t="s">
        <v>572</v>
      </c>
      <c r="E104" s="75">
        <v>285.6</v>
      </c>
      <c r="F104" s="74" t="s">
        <v>17</v>
      </c>
      <c r="G104" s="74" t="s">
        <v>21</v>
      </c>
      <c r="H104" s="74" t="s">
        <v>573</v>
      </c>
      <c r="I104" s="72">
        <v>46069</v>
      </c>
      <c r="J104" s="75">
        <f t="shared" si="4"/>
        <v>285.6</v>
      </c>
      <c r="K104" s="75">
        <v>285.6</v>
      </c>
      <c r="L104" s="43">
        <f t="shared" si="3"/>
        <v>0</v>
      </c>
      <c r="M104" s="25"/>
      <c r="N104" s="70" t="s">
        <v>39</v>
      </c>
    </row>
    <row r="105" spans="2:14">
      <c r="B105" s="72">
        <v>46069</v>
      </c>
      <c r="C105" s="73" t="s">
        <v>15</v>
      </c>
      <c r="D105" s="74" t="s">
        <v>574</v>
      </c>
      <c r="E105" s="75">
        <v>38.71</v>
      </c>
      <c r="F105" s="74" t="s">
        <v>17</v>
      </c>
      <c r="G105" s="74" t="s">
        <v>21</v>
      </c>
      <c r="H105" s="74" t="s">
        <v>575</v>
      </c>
      <c r="I105" s="72">
        <v>46069</v>
      </c>
      <c r="J105" s="75">
        <f t="shared" si="4"/>
        <v>38.71</v>
      </c>
      <c r="K105" s="75">
        <v>38.71</v>
      </c>
      <c r="L105" s="43">
        <f t="shared" si="3"/>
        <v>0</v>
      </c>
      <c r="M105" s="25"/>
      <c r="N105" s="70" t="s">
        <v>39</v>
      </c>
    </row>
    <row r="106" spans="2:14">
      <c r="B106" s="72">
        <v>46069</v>
      </c>
      <c r="C106" s="73" t="s">
        <v>15</v>
      </c>
      <c r="D106" s="74" t="s">
        <v>576</v>
      </c>
      <c r="E106" s="75">
        <v>327.08</v>
      </c>
      <c r="F106" s="74" t="s">
        <v>17</v>
      </c>
      <c r="G106" s="74" t="s">
        <v>21</v>
      </c>
      <c r="H106" s="74" t="s">
        <v>577</v>
      </c>
      <c r="I106" s="72">
        <v>46069</v>
      </c>
      <c r="J106" s="75">
        <f t="shared" si="4"/>
        <v>327.08</v>
      </c>
      <c r="K106" s="75">
        <v>327.08</v>
      </c>
      <c r="L106" s="43">
        <f t="shared" si="3"/>
        <v>0</v>
      </c>
      <c r="M106" s="25"/>
      <c r="N106" s="70" t="s">
        <v>23</v>
      </c>
    </row>
    <row r="107" spans="2:14">
      <c r="B107" s="72">
        <v>46069</v>
      </c>
      <c r="C107" s="73" t="s">
        <v>15</v>
      </c>
      <c r="D107" s="74" t="s">
        <v>578</v>
      </c>
      <c r="E107" s="75">
        <v>219.14</v>
      </c>
      <c r="F107" s="74" t="s">
        <v>17</v>
      </c>
      <c r="G107" s="74"/>
      <c r="H107" s="74" t="s">
        <v>579</v>
      </c>
      <c r="I107" s="72">
        <v>46069</v>
      </c>
      <c r="J107" s="75">
        <f t="shared" si="4"/>
        <v>219.14</v>
      </c>
      <c r="K107" s="75">
        <v>219.14</v>
      </c>
      <c r="L107" s="43">
        <f t="shared" si="3"/>
        <v>0</v>
      </c>
      <c r="M107" s="25"/>
      <c r="N107" s="70" t="s">
        <v>63</v>
      </c>
    </row>
    <row r="108" spans="2:14">
      <c r="B108" s="19">
        <v>46069</v>
      </c>
      <c r="C108" s="20" t="s">
        <v>15</v>
      </c>
      <c r="D108" s="21" t="s">
        <v>580</v>
      </c>
      <c r="E108" s="22">
        <v>90.84</v>
      </c>
      <c r="F108" s="21" t="s">
        <v>29</v>
      </c>
      <c r="G108" s="21"/>
      <c r="H108" s="21" t="s">
        <v>581</v>
      </c>
      <c r="I108" s="19">
        <v>46069</v>
      </c>
      <c r="J108" s="22">
        <f t="shared" si="4"/>
        <v>90.84</v>
      </c>
      <c r="K108" s="22">
        <v>90.84</v>
      </c>
      <c r="L108" s="43">
        <f t="shared" si="3"/>
        <v>0</v>
      </c>
      <c r="M108" s="25"/>
      <c r="N108" s="26"/>
    </row>
    <row r="109" spans="2:14">
      <c r="B109" s="19">
        <v>46069</v>
      </c>
      <c r="C109" s="20" t="s">
        <v>15</v>
      </c>
      <c r="D109" s="21" t="s">
        <v>582</v>
      </c>
      <c r="E109" s="22">
        <v>75.82</v>
      </c>
      <c r="F109" s="21" t="s">
        <v>29</v>
      </c>
      <c r="G109" s="21"/>
      <c r="H109" s="21" t="s">
        <v>583</v>
      </c>
      <c r="I109" s="19">
        <v>46069</v>
      </c>
      <c r="J109" s="22">
        <f t="shared" si="4"/>
        <v>75.82</v>
      </c>
      <c r="K109" s="22">
        <v>75.82</v>
      </c>
      <c r="L109" s="43">
        <f t="shared" si="3"/>
        <v>0</v>
      </c>
      <c r="M109" s="25"/>
      <c r="N109" s="26"/>
    </row>
    <row r="110" spans="2:14">
      <c r="B110" s="19">
        <v>46069</v>
      </c>
      <c r="C110" s="20" t="s">
        <v>15</v>
      </c>
      <c r="D110" s="21" t="s">
        <v>584</v>
      </c>
      <c r="E110" s="22">
        <v>3414.15</v>
      </c>
      <c r="F110" s="21" t="s">
        <v>585</v>
      </c>
      <c r="G110" s="21"/>
      <c r="H110" s="21"/>
      <c r="I110" s="19">
        <v>46069</v>
      </c>
      <c r="J110" s="22">
        <f t="shared" si="4"/>
        <v>3414.15</v>
      </c>
      <c r="K110" s="22">
        <v>3414.15</v>
      </c>
      <c r="L110" s="43">
        <f t="shared" si="3"/>
        <v>0</v>
      </c>
      <c r="M110" s="25"/>
      <c r="N110" s="26"/>
    </row>
    <row r="111" spans="2:14">
      <c r="B111" s="19">
        <v>46069</v>
      </c>
      <c r="C111" s="20" t="s">
        <v>15</v>
      </c>
      <c r="D111" s="21" t="s">
        <v>586</v>
      </c>
      <c r="E111" s="22">
        <v>27.34</v>
      </c>
      <c r="F111" s="21" t="s">
        <v>17</v>
      </c>
      <c r="G111" s="21" t="s">
        <v>21</v>
      </c>
      <c r="H111" s="21" t="s">
        <v>587</v>
      </c>
      <c r="I111" s="19">
        <v>46069</v>
      </c>
      <c r="J111" s="22">
        <f t="shared" si="4"/>
        <v>27.34</v>
      </c>
      <c r="K111" s="22">
        <v>27.34</v>
      </c>
      <c r="L111" s="43">
        <f t="shared" si="3"/>
        <v>0</v>
      </c>
      <c r="M111" s="25"/>
      <c r="N111" s="26"/>
    </row>
    <row r="112" spans="2:14">
      <c r="B112" s="19">
        <v>46069</v>
      </c>
      <c r="C112" s="20" t="s">
        <v>15</v>
      </c>
      <c r="D112" s="21" t="s">
        <v>588</v>
      </c>
      <c r="E112" s="22">
        <v>108.41</v>
      </c>
      <c r="F112" s="21" t="s">
        <v>29</v>
      </c>
      <c r="G112" s="21"/>
      <c r="H112" s="21" t="s">
        <v>589</v>
      </c>
      <c r="I112" s="19">
        <v>46069</v>
      </c>
      <c r="J112" s="22">
        <f t="shared" si="4"/>
        <v>108.41</v>
      </c>
      <c r="K112" s="22">
        <v>108.41</v>
      </c>
      <c r="L112" s="43">
        <f t="shared" si="3"/>
        <v>0</v>
      </c>
      <c r="M112" s="25"/>
      <c r="N112" s="31"/>
    </row>
    <row r="113" spans="2:14">
      <c r="B113" s="19">
        <v>46070</v>
      </c>
      <c r="C113" s="20" t="s">
        <v>15</v>
      </c>
      <c r="D113" s="21" t="s">
        <v>590</v>
      </c>
      <c r="E113" s="22">
        <v>202.99</v>
      </c>
      <c r="F113" s="21" t="s">
        <v>17</v>
      </c>
      <c r="G113" s="21" t="s">
        <v>21</v>
      </c>
      <c r="H113" s="21" t="s">
        <v>591</v>
      </c>
      <c r="I113" s="19">
        <v>46070</v>
      </c>
      <c r="J113" s="22">
        <f t="shared" si="4"/>
        <v>202.99</v>
      </c>
      <c r="K113" s="22">
        <v>202.99</v>
      </c>
      <c r="L113" s="43">
        <f t="shared" si="3"/>
        <v>0</v>
      </c>
      <c r="M113" s="25"/>
      <c r="N113" s="31"/>
    </row>
    <row r="114" spans="2:14">
      <c r="B114" s="19">
        <v>46070</v>
      </c>
      <c r="C114" s="20" t="s">
        <v>15</v>
      </c>
      <c r="D114" s="21" t="s">
        <v>592</v>
      </c>
      <c r="E114" s="22">
        <v>1026.12</v>
      </c>
      <c r="F114" s="21" t="s">
        <v>17</v>
      </c>
      <c r="G114" s="21" t="s">
        <v>21</v>
      </c>
      <c r="H114" s="21" t="s">
        <v>593</v>
      </c>
      <c r="I114" s="19">
        <v>46070</v>
      </c>
      <c r="J114" s="22">
        <f t="shared" si="4"/>
        <v>1026.12</v>
      </c>
      <c r="K114" s="22">
        <v>1026.12</v>
      </c>
      <c r="L114" s="43">
        <f t="shared" si="3"/>
        <v>0</v>
      </c>
      <c r="M114" s="25"/>
      <c r="N114" s="31"/>
    </row>
    <row r="115" spans="2:14">
      <c r="B115" s="19">
        <v>46070</v>
      </c>
      <c r="C115" s="20" t="s">
        <v>64</v>
      </c>
      <c r="D115" s="21" t="s">
        <v>594</v>
      </c>
      <c r="E115" s="22">
        <v>65.13</v>
      </c>
      <c r="F115" s="21" t="s">
        <v>595</v>
      </c>
      <c r="G115" s="21"/>
      <c r="H115" s="21"/>
      <c r="I115" s="19">
        <v>46070</v>
      </c>
      <c r="J115" s="22">
        <f t="shared" si="4"/>
        <v>65.13</v>
      </c>
      <c r="K115" s="22">
        <v>65.13</v>
      </c>
      <c r="L115" s="43">
        <f t="shared" si="3"/>
        <v>0</v>
      </c>
      <c r="M115" s="25"/>
      <c r="N115" s="31"/>
    </row>
    <row r="116" spans="2:14">
      <c r="B116" s="97">
        <v>46070</v>
      </c>
      <c r="C116" s="98" t="s">
        <v>15</v>
      </c>
      <c r="D116" s="99" t="s">
        <v>596</v>
      </c>
      <c r="E116" s="100">
        <v>461.37</v>
      </c>
      <c r="F116" s="99" t="s">
        <v>29</v>
      </c>
      <c r="G116" s="99"/>
      <c r="H116" s="99" t="s">
        <v>597</v>
      </c>
      <c r="I116" s="97">
        <v>46070</v>
      </c>
      <c r="J116" s="100">
        <f t="shared" si="4"/>
        <v>461.37</v>
      </c>
      <c r="K116" s="100">
        <v>461.37</v>
      </c>
      <c r="L116" s="43">
        <f t="shared" si="3"/>
        <v>0</v>
      </c>
      <c r="M116" s="25"/>
      <c r="N116" s="70" t="s">
        <v>56</v>
      </c>
    </row>
    <row r="117" spans="2:14">
      <c r="B117" s="19">
        <v>46071</v>
      </c>
      <c r="C117" s="20" t="s">
        <v>15</v>
      </c>
      <c r="D117" s="21" t="s">
        <v>598</v>
      </c>
      <c r="E117" s="22">
        <v>940.55</v>
      </c>
      <c r="F117" s="21" t="s">
        <v>17</v>
      </c>
      <c r="G117" s="21" t="s">
        <v>18</v>
      </c>
      <c r="H117" s="21" t="s">
        <v>599</v>
      </c>
      <c r="I117" s="19">
        <v>46071</v>
      </c>
      <c r="J117" s="22">
        <f t="shared" si="4"/>
        <v>940.55</v>
      </c>
      <c r="K117" s="22">
        <v>940.55</v>
      </c>
      <c r="L117" s="43">
        <f t="shared" si="3"/>
        <v>0</v>
      </c>
      <c r="M117" s="25"/>
      <c r="N117" s="31"/>
    </row>
    <row r="118" spans="2:14">
      <c r="B118" s="72">
        <v>46071</v>
      </c>
      <c r="C118" s="73" t="s">
        <v>15</v>
      </c>
      <c r="D118" s="74" t="s">
        <v>600</v>
      </c>
      <c r="E118" s="75">
        <v>375.18</v>
      </c>
      <c r="F118" s="74" t="s">
        <v>17</v>
      </c>
      <c r="G118" s="74" t="s">
        <v>21</v>
      </c>
      <c r="H118" s="74" t="s">
        <v>601</v>
      </c>
      <c r="I118" s="72">
        <v>46071</v>
      </c>
      <c r="J118" s="75">
        <f t="shared" si="4"/>
        <v>375.18</v>
      </c>
      <c r="K118" s="75">
        <v>375.18</v>
      </c>
      <c r="L118" s="43">
        <f t="shared" si="3"/>
        <v>0</v>
      </c>
      <c r="M118" s="25"/>
      <c r="N118" s="70" t="s">
        <v>602</v>
      </c>
    </row>
    <row r="119" spans="2:14">
      <c r="B119" s="19">
        <v>46071</v>
      </c>
      <c r="C119" s="20" t="s">
        <v>15</v>
      </c>
      <c r="D119" s="21" t="s">
        <v>603</v>
      </c>
      <c r="E119" s="22">
        <v>198.58</v>
      </c>
      <c r="F119" s="21" t="s">
        <v>17</v>
      </c>
      <c r="G119" s="21" t="s">
        <v>21</v>
      </c>
      <c r="H119" s="21" t="s">
        <v>604</v>
      </c>
      <c r="I119" s="19">
        <v>46071</v>
      </c>
      <c r="J119" s="22">
        <f t="shared" si="4"/>
        <v>198.58</v>
      </c>
      <c r="K119" s="22">
        <v>198.58</v>
      </c>
      <c r="L119" s="43">
        <f t="shared" si="3"/>
        <v>0</v>
      </c>
      <c r="M119" s="25"/>
      <c r="N119" s="26"/>
    </row>
    <row r="120" spans="2:14">
      <c r="B120" s="19">
        <v>46071</v>
      </c>
      <c r="C120" s="20" t="s">
        <v>15</v>
      </c>
      <c r="D120" s="21" t="s">
        <v>605</v>
      </c>
      <c r="E120" s="22">
        <v>75.19</v>
      </c>
      <c r="F120" s="21" t="s">
        <v>17</v>
      </c>
      <c r="G120" s="21" t="s">
        <v>21</v>
      </c>
      <c r="H120" s="21" t="s">
        <v>606</v>
      </c>
      <c r="I120" s="19">
        <v>46071</v>
      </c>
      <c r="J120" s="22">
        <f t="shared" si="4"/>
        <v>75.19</v>
      </c>
      <c r="K120" s="22">
        <v>75.19</v>
      </c>
      <c r="L120" s="43">
        <f t="shared" si="3"/>
        <v>0</v>
      </c>
      <c r="M120" s="25"/>
      <c r="N120" s="31"/>
    </row>
    <row r="121" spans="2:14">
      <c r="B121" s="19">
        <v>46071</v>
      </c>
      <c r="C121" s="20" t="s">
        <v>15</v>
      </c>
      <c r="D121" s="21" t="s">
        <v>607</v>
      </c>
      <c r="E121" s="22">
        <v>438.28</v>
      </c>
      <c r="F121" s="21" t="s">
        <v>17</v>
      </c>
      <c r="G121" s="21" t="s">
        <v>21</v>
      </c>
      <c r="H121" s="21" t="s">
        <v>608</v>
      </c>
      <c r="I121" s="19">
        <v>46071</v>
      </c>
      <c r="J121" s="22">
        <f t="shared" si="4"/>
        <v>438.28</v>
      </c>
      <c r="K121" s="22">
        <v>438.28</v>
      </c>
      <c r="L121" s="43">
        <f t="shared" si="3"/>
        <v>0</v>
      </c>
      <c r="M121" s="25"/>
      <c r="N121" s="26"/>
    </row>
    <row r="122" spans="2:14">
      <c r="B122" s="19">
        <v>46071</v>
      </c>
      <c r="C122" s="20" t="s">
        <v>15</v>
      </c>
      <c r="D122" s="21" t="s">
        <v>609</v>
      </c>
      <c r="E122" s="22">
        <v>151.13</v>
      </c>
      <c r="F122" s="21" t="s">
        <v>17</v>
      </c>
      <c r="G122" s="21" t="s">
        <v>21</v>
      </c>
      <c r="H122" s="21" t="s">
        <v>610</v>
      </c>
      <c r="I122" s="19">
        <v>46071</v>
      </c>
      <c r="J122" s="22">
        <f t="shared" si="4"/>
        <v>151.13</v>
      </c>
      <c r="K122" s="22">
        <v>151.13</v>
      </c>
      <c r="L122" s="43">
        <f t="shared" si="3"/>
        <v>0</v>
      </c>
      <c r="M122" s="25"/>
      <c r="N122" s="31"/>
    </row>
    <row r="123" spans="2:14">
      <c r="B123" s="72">
        <v>46071</v>
      </c>
      <c r="C123" s="73" t="s">
        <v>15</v>
      </c>
      <c r="D123" s="74" t="s">
        <v>611</v>
      </c>
      <c r="E123" s="75">
        <v>752.44</v>
      </c>
      <c r="F123" s="74" t="s">
        <v>29</v>
      </c>
      <c r="G123" s="74"/>
      <c r="H123" s="74" t="s">
        <v>612</v>
      </c>
      <c r="I123" s="72">
        <v>46071</v>
      </c>
      <c r="J123" s="75">
        <f t="shared" si="4"/>
        <v>752.44</v>
      </c>
      <c r="K123" s="75">
        <v>752.44</v>
      </c>
      <c r="L123" s="43">
        <f t="shared" si="3"/>
        <v>0</v>
      </c>
      <c r="M123" s="25"/>
      <c r="N123" s="70" t="s">
        <v>33</v>
      </c>
    </row>
    <row r="124" spans="2:14">
      <c r="B124" s="19">
        <v>46071</v>
      </c>
      <c r="C124" s="20" t="s">
        <v>64</v>
      </c>
      <c r="D124" s="21" t="s">
        <v>613</v>
      </c>
      <c r="E124" s="22">
        <v>117.24</v>
      </c>
      <c r="F124" s="21" t="s">
        <v>29</v>
      </c>
      <c r="G124" s="21"/>
      <c r="H124" s="21" t="s">
        <v>614</v>
      </c>
      <c r="I124" s="19">
        <v>46071</v>
      </c>
      <c r="J124" s="22">
        <f t="shared" si="4"/>
        <v>117.24</v>
      </c>
      <c r="K124" s="22">
        <v>117.24</v>
      </c>
      <c r="L124" s="43">
        <f t="shared" si="3"/>
        <v>0</v>
      </c>
      <c r="M124" s="25"/>
      <c r="N124" s="31"/>
    </row>
    <row r="125" spans="2:14">
      <c r="B125" s="97">
        <v>46071</v>
      </c>
      <c r="C125" s="98" t="s">
        <v>15</v>
      </c>
      <c r="D125" s="99" t="s">
        <v>615</v>
      </c>
      <c r="E125" s="100">
        <v>1052.55</v>
      </c>
      <c r="F125" s="99" t="s">
        <v>17</v>
      </c>
      <c r="G125" s="99" t="s">
        <v>21</v>
      </c>
      <c r="H125" s="99" t="s">
        <v>616</v>
      </c>
      <c r="I125" s="97">
        <v>46071</v>
      </c>
      <c r="J125" s="100">
        <f t="shared" si="4"/>
        <v>1052.55</v>
      </c>
      <c r="K125" s="100">
        <v>1052.55</v>
      </c>
      <c r="L125" s="43">
        <f t="shared" si="3"/>
        <v>0</v>
      </c>
      <c r="M125" s="25"/>
      <c r="N125" s="70" t="s">
        <v>56</v>
      </c>
    </row>
    <row r="126" spans="2:14">
      <c r="B126" s="72">
        <v>46071</v>
      </c>
      <c r="C126" s="73" t="s">
        <v>15</v>
      </c>
      <c r="D126" s="74" t="s">
        <v>617</v>
      </c>
      <c r="E126" s="75">
        <v>43.93</v>
      </c>
      <c r="F126" s="74" t="s">
        <v>17</v>
      </c>
      <c r="G126" s="74" t="s">
        <v>21</v>
      </c>
      <c r="H126" s="74" t="s">
        <v>618</v>
      </c>
      <c r="I126" s="72">
        <v>46071</v>
      </c>
      <c r="J126" s="75">
        <f t="shared" si="4"/>
        <v>43.93</v>
      </c>
      <c r="K126" s="75">
        <v>43.93</v>
      </c>
      <c r="L126" s="43">
        <f t="shared" si="3"/>
        <v>0</v>
      </c>
      <c r="M126" s="25"/>
      <c r="N126" s="70" t="s">
        <v>619</v>
      </c>
    </row>
    <row r="127" spans="2:14">
      <c r="B127" s="72">
        <v>46072</v>
      </c>
      <c r="C127" s="73" t="s">
        <v>15</v>
      </c>
      <c r="D127" s="74" t="s">
        <v>620</v>
      </c>
      <c r="E127" s="75">
        <v>65.74</v>
      </c>
      <c r="F127" s="74" t="s">
        <v>17</v>
      </c>
      <c r="G127" s="74" t="s">
        <v>21</v>
      </c>
      <c r="H127" s="74" t="s">
        <v>621</v>
      </c>
      <c r="I127" s="72">
        <v>46072</v>
      </c>
      <c r="J127" s="75">
        <f t="shared" si="4"/>
        <v>65.74</v>
      </c>
      <c r="K127" s="75">
        <v>65.74</v>
      </c>
      <c r="L127" s="43">
        <f t="shared" si="3"/>
        <v>0</v>
      </c>
      <c r="M127" s="25"/>
      <c r="N127" s="70" t="s">
        <v>619</v>
      </c>
    </row>
    <row r="128" spans="2:14">
      <c r="B128" s="19">
        <v>46072</v>
      </c>
      <c r="C128" s="20" t="s">
        <v>15</v>
      </c>
      <c r="D128" s="21" t="s">
        <v>622</v>
      </c>
      <c r="E128" s="22">
        <v>338.1</v>
      </c>
      <c r="F128" s="21" t="s">
        <v>17</v>
      </c>
      <c r="G128" s="21" t="s">
        <v>21</v>
      </c>
      <c r="H128" s="21" t="s">
        <v>623</v>
      </c>
      <c r="I128" s="19">
        <v>46072</v>
      </c>
      <c r="J128" s="22">
        <f t="shared" si="4"/>
        <v>338.1</v>
      </c>
      <c r="K128" s="22">
        <v>338.1</v>
      </c>
      <c r="L128" s="43">
        <f t="shared" si="3"/>
        <v>0</v>
      </c>
      <c r="M128" s="25"/>
      <c r="N128" s="26"/>
    </row>
    <row r="129" spans="2:14">
      <c r="B129" s="72">
        <v>46072</v>
      </c>
      <c r="C129" s="73" t="s">
        <v>15</v>
      </c>
      <c r="D129" s="74" t="s">
        <v>624</v>
      </c>
      <c r="E129" s="75">
        <v>824.22</v>
      </c>
      <c r="F129" s="74" t="s">
        <v>17</v>
      </c>
      <c r="G129" s="74" t="s">
        <v>18</v>
      </c>
      <c r="H129" s="74" t="s">
        <v>625</v>
      </c>
      <c r="I129" s="72">
        <v>46072</v>
      </c>
      <c r="J129" s="75">
        <f t="shared" si="4"/>
        <v>824.22</v>
      </c>
      <c r="K129" s="75">
        <v>824.22</v>
      </c>
      <c r="L129" s="43">
        <f t="shared" si="3"/>
        <v>0</v>
      </c>
      <c r="M129" s="25"/>
      <c r="N129" s="70" t="s">
        <v>23</v>
      </c>
    </row>
    <row r="130" spans="2:14">
      <c r="B130" s="72">
        <v>46072</v>
      </c>
      <c r="C130" s="73" t="s">
        <v>15</v>
      </c>
      <c r="D130" s="74" t="s">
        <v>626</v>
      </c>
      <c r="E130" s="75">
        <v>479</v>
      </c>
      <c r="F130" s="74" t="s">
        <v>17</v>
      </c>
      <c r="G130" s="74" t="s">
        <v>21</v>
      </c>
      <c r="H130" s="74" t="s">
        <v>627</v>
      </c>
      <c r="I130" s="72">
        <v>46072</v>
      </c>
      <c r="J130" s="75">
        <f t="shared" si="4"/>
        <v>479</v>
      </c>
      <c r="K130" s="75">
        <v>479</v>
      </c>
      <c r="L130" s="43">
        <f t="shared" si="3"/>
        <v>0</v>
      </c>
      <c r="M130" s="25"/>
      <c r="N130" s="70" t="s">
        <v>23</v>
      </c>
    </row>
    <row r="131" spans="2:14">
      <c r="B131" s="19">
        <v>46072</v>
      </c>
      <c r="C131" s="20" t="s">
        <v>15</v>
      </c>
      <c r="D131" s="21" t="s">
        <v>628</v>
      </c>
      <c r="E131" s="22">
        <v>165.32</v>
      </c>
      <c r="F131" s="21" t="s">
        <v>17</v>
      </c>
      <c r="G131" s="21" t="s">
        <v>21</v>
      </c>
      <c r="H131" s="21" t="s">
        <v>629</v>
      </c>
      <c r="I131" s="19">
        <v>46072</v>
      </c>
      <c r="J131" s="22">
        <f t="shared" si="4"/>
        <v>165.32</v>
      </c>
      <c r="K131" s="22">
        <v>165.32</v>
      </c>
      <c r="L131" s="43">
        <f t="shared" si="3"/>
        <v>0</v>
      </c>
      <c r="M131" s="25"/>
      <c r="N131" s="26"/>
    </row>
    <row r="132" spans="2:14">
      <c r="B132" s="72">
        <v>46072</v>
      </c>
      <c r="C132" s="73" t="s">
        <v>15</v>
      </c>
      <c r="D132" s="74" t="s">
        <v>630</v>
      </c>
      <c r="E132" s="75">
        <v>254.96</v>
      </c>
      <c r="F132" s="74" t="s">
        <v>17</v>
      </c>
      <c r="G132" s="74" t="s">
        <v>21</v>
      </c>
      <c r="H132" s="74" t="s">
        <v>631</v>
      </c>
      <c r="I132" s="72">
        <v>46072</v>
      </c>
      <c r="J132" s="75">
        <f t="shared" si="4"/>
        <v>254.96</v>
      </c>
      <c r="K132" s="75">
        <v>254.96</v>
      </c>
      <c r="L132" s="43">
        <f t="shared" si="3"/>
        <v>0</v>
      </c>
      <c r="M132" s="25"/>
      <c r="N132" s="70" t="s">
        <v>224</v>
      </c>
    </row>
    <row r="133" spans="2:14">
      <c r="B133" s="19">
        <v>46072</v>
      </c>
      <c r="C133" s="20" t="s">
        <v>15</v>
      </c>
      <c r="D133" s="21" t="s">
        <v>632</v>
      </c>
      <c r="E133" s="22">
        <v>1581.31</v>
      </c>
      <c r="F133" s="21" t="s">
        <v>17</v>
      </c>
      <c r="G133" s="21" t="s">
        <v>21</v>
      </c>
      <c r="H133" s="21" t="s">
        <v>633</v>
      </c>
      <c r="I133" s="19">
        <v>46072</v>
      </c>
      <c r="J133" s="22">
        <f t="shared" si="4"/>
        <v>1581.31</v>
      </c>
      <c r="K133" s="22">
        <v>2018.94</v>
      </c>
      <c r="L133" s="43">
        <f t="shared" si="3"/>
        <v>-437.63</v>
      </c>
      <c r="M133" s="25"/>
      <c r="N133" s="26"/>
    </row>
    <row r="134" spans="2:14">
      <c r="B134" s="97">
        <v>46072</v>
      </c>
      <c r="C134" s="98" t="s">
        <v>15</v>
      </c>
      <c r="D134" s="99" t="s">
        <v>634</v>
      </c>
      <c r="E134" s="100">
        <v>437.63</v>
      </c>
      <c r="F134" s="99" t="s">
        <v>17</v>
      </c>
      <c r="G134" s="99" t="s">
        <v>21</v>
      </c>
      <c r="H134" s="99" t="s">
        <v>633</v>
      </c>
      <c r="I134" s="97">
        <v>46072</v>
      </c>
      <c r="J134" s="100">
        <f t="shared" si="4"/>
        <v>437.63</v>
      </c>
      <c r="K134" s="100">
        <v>437.63</v>
      </c>
      <c r="L134" s="43">
        <f t="shared" ref="L134:L195" si="5">J134-K134</f>
        <v>0</v>
      </c>
      <c r="M134" s="25"/>
      <c r="N134" s="70" t="s">
        <v>56</v>
      </c>
    </row>
    <row r="135" spans="2:14">
      <c r="B135" s="19">
        <v>46072</v>
      </c>
      <c r="C135" s="20" t="s">
        <v>15</v>
      </c>
      <c r="D135" s="21" t="s">
        <v>635</v>
      </c>
      <c r="E135" s="22">
        <v>185.34</v>
      </c>
      <c r="F135" s="21" t="s">
        <v>17</v>
      </c>
      <c r="G135" s="21" t="s">
        <v>21</v>
      </c>
      <c r="H135" s="21" t="s">
        <v>636</v>
      </c>
      <c r="I135" s="19">
        <v>46072</v>
      </c>
      <c r="J135" s="22">
        <f t="shared" si="4"/>
        <v>185.34</v>
      </c>
      <c r="K135" s="22">
        <v>185.34</v>
      </c>
      <c r="L135" s="43">
        <f t="shared" si="5"/>
        <v>0</v>
      </c>
      <c r="M135" s="25"/>
      <c r="N135" s="26"/>
    </row>
    <row r="136" spans="2:14">
      <c r="B136" s="84">
        <v>46073</v>
      </c>
      <c r="C136" s="73" t="s">
        <v>15</v>
      </c>
      <c r="D136" s="74" t="s">
        <v>637</v>
      </c>
      <c r="E136" s="75">
        <v>477.39</v>
      </c>
      <c r="F136" s="74" t="s">
        <v>17</v>
      </c>
      <c r="G136" s="74"/>
      <c r="H136" s="74" t="s">
        <v>638</v>
      </c>
      <c r="I136" s="84">
        <v>46073</v>
      </c>
      <c r="J136" s="75">
        <f t="shared" si="4"/>
        <v>477.39</v>
      </c>
      <c r="K136" s="75">
        <v>477.39</v>
      </c>
      <c r="L136" s="43">
        <f t="shared" si="5"/>
        <v>0</v>
      </c>
      <c r="M136" s="25"/>
      <c r="N136" s="70" t="s">
        <v>23</v>
      </c>
    </row>
    <row r="137" spans="2:14">
      <c r="B137" s="84">
        <v>46073</v>
      </c>
      <c r="C137" s="73" t="s">
        <v>15</v>
      </c>
      <c r="D137" s="74" t="s">
        <v>639</v>
      </c>
      <c r="E137" s="75">
        <v>883.48</v>
      </c>
      <c r="F137" s="74" t="s">
        <v>17</v>
      </c>
      <c r="G137" s="74"/>
      <c r="H137" s="74" t="s">
        <v>640</v>
      </c>
      <c r="I137" s="84">
        <v>46066</v>
      </c>
      <c r="J137" s="75">
        <f t="shared" si="4"/>
        <v>883.48</v>
      </c>
      <c r="K137" s="75">
        <v>562.26</v>
      </c>
      <c r="L137" s="43">
        <f t="shared" si="5"/>
        <v>321.22</v>
      </c>
      <c r="M137" s="25"/>
      <c r="N137" s="70" t="s">
        <v>23</v>
      </c>
    </row>
    <row r="138" spans="2:14">
      <c r="B138" s="84"/>
      <c r="C138" s="73"/>
      <c r="D138" s="74"/>
      <c r="E138" s="75"/>
      <c r="F138" s="74" t="s">
        <v>29</v>
      </c>
      <c r="G138" s="74"/>
      <c r="H138" s="74" t="s">
        <v>641</v>
      </c>
      <c r="I138" s="84"/>
      <c r="J138" s="75"/>
      <c r="K138" s="75">
        <v>321.22</v>
      </c>
      <c r="L138" s="43">
        <f t="shared" si="5"/>
        <v>-321.22</v>
      </c>
      <c r="M138" s="25"/>
      <c r="N138" s="31"/>
    </row>
    <row r="139" spans="2:14">
      <c r="B139" s="34">
        <v>46073</v>
      </c>
      <c r="C139" s="20" t="s">
        <v>15</v>
      </c>
      <c r="D139" s="21" t="s">
        <v>642</v>
      </c>
      <c r="E139" s="22">
        <v>1170.38</v>
      </c>
      <c r="F139" s="21" t="s">
        <v>17</v>
      </c>
      <c r="G139" s="21" t="s">
        <v>18</v>
      </c>
      <c r="H139" s="21" t="s">
        <v>643</v>
      </c>
      <c r="I139" s="34">
        <v>46073</v>
      </c>
      <c r="J139" s="22">
        <f t="shared" si="4"/>
        <v>1170.38</v>
      </c>
      <c r="K139" s="22">
        <v>1170.38</v>
      </c>
      <c r="L139" s="43">
        <f t="shared" si="5"/>
        <v>0</v>
      </c>
      <c r="M139" s="25"/>
      <c r="N139" s="31"/>
    </row>
    <row r="140" spans="2:14">
      <c r="B140" s="34">
        <v>46073</v>
      </c>
      <c r="C140" s="20" t="s">
        <v>15</v>
      </c>
      <c r="D140" s="21" t="s">
        <v>644</v>
      </c>
      <c r="E140" s="22">
        <v>108.41</v>
      </c>
      <c r="F140" s="21" t="s">
        <v>17</v>
      </c>
      <c r="G140" s="21" t="s">
        <v>18</v>
      </c>
      <c r="H140" s="21" t="s">
        <v>645</v>
      </c>
      <c r="I140" s="34">
        <v>46073</v>
      </c>
      <c r="J140" s="22">
        <f t="shared" si="4"/>
        <v>108.41</v>
      </c>
      <c r="K140" s="22">
        <v>108.41</v>
      </c>
      <c r="L140" s="43">
        <f t="shared" si="5"/>
        <v>0</v>
      </c>
      <c r="M140" s="25"/>
      <c r="N140" s="31"/>
    </row>
    <row r="141" spans="2:14">
      <c r="B141" s="84">
        <v>46073</v>
      </c>
      <c r="C141" s="73" t="s">
        <v>15</v>
      </c>
      <c r="D141" s="74" t="s">
        <v>646</v>
      </c>
      <c r="E141" s="75">
        <v>1325.22</v>
      </c>
      <c r="F141" s="74" t="s">
        <v>17</v>
      </c>
      <c r="G141" s="74" t="s">
        <v>21</v>
      </c>
      <c r="H141" s="74" t="s">
        <v>647</v>
      </c>
      <c r="I141" s="84">
        <v>46073</v>
      </c>
      <c r="J141" s="75">
        <f t="shared" si="4"/>
        <v>1325.22</v>
      </c>
      <c r="K141" s="75">
        <v>1325.22</v>
      </c>
      <c r="L141" s="43">
        <f t="shared" si="5"/>
        <v>0</v>
      </c>
      <c r="M141" s="25"/>
      <c r="N141" s="70" t="s">
        <v>39</v>
      </c>
    </row>
    <row r="142" spans="2:14">
      <c r="B142" s="84">
        <v>46073</v>
      </c>
      <c r="C142" s="73" t="s">
        <v>15</v>
      </c>
      <c r="D142" s="74" t="s">
        <v>648</v>
      </c>
      <c r="E142" s="75">
        <v>157.79</v>
      </c>
      <c r="F142" s="74" t="s">
        <v>17</v>
      </c>
      <c r="G142" s="74" t="s">
        <v>18</v>
      </c>
      <c r="H142" s="74" t="s">
        <v>649</v>
      </c>
      <c r="I142" s="84">
        <v>46073</v>
      </c>
      <c r="J142" s="75">
        <f t="shared" si="4"/>
        <v>157.79</v>
      </c>
      <c r="K142" s="75">
        <v>157.79</v>
      </c>
      <c r="L142" s="43">
        <f t="shared" si="5"/>
        <v>0</v>
      </c>
      <c r="M142" s="25"/>
      <c r="N142" s="70" t="s">
        <v>650</v>
      </c>
    </row>
    <row r="143" spans="2:14">
      <c r="B143" s="84">
        <v>46073</v>
      </c>
      <c r="C143" s="73" t="s">
        <v>15</v>
      </c>
      <c r="D143" s="74" t="s">
        <v>651</v>
      </c>
      <c r="E143" s="75">
        <v>103.7</v>
      </c>
      <c r="F143" s="74" t="s">
        <v>29</v>
      </c>
      <c r="G143" s="74"/>
      <c r="H143" s="74" t="s">
        <v>652</v>
      </c>
      <c r="I143" s="84">
        <v>46073</v>
      </c>
      <c r="J143" s="75">
        <f t="shared" si="4"/>
        <v>103.7</v>
      </c>
      <c r="K143" s="75">
        <v>103.7</v>
      </c>
      <c r="L143" s="43">
        <f t="shared" si="5"/>
        <v>0</v>
      </c>
      <c r="M143" s="25"/>
      <c r="N143" s="70" t="s">
        <v>63</v>
      </c>
    </row>
    <row r="144" spans="2:14">
      <c r="B144" s="84">
        <v>46073</v>
      </c>
      <c r="C144" s="73" t="s">
        <v>15</v>
      </c>
      <c r="D144" s="74" t="s">
        <v>653</v>
      </c>
      <c r="E144" s="75">
        <v>304.08</v>
      </c>
      <c r="F144" s="74" t="s">
        <v>17</v>
      </c>
      <c r="G144" s="74" t="s">
        <v>79</v>
      </c>
      <c r="H144" s="74" t="s">
        <v>654</v>
      </c>
      <c r="I144" s="84">
        <v>46073</v>
      </c>
      <c r="J144" s="75">
        <f t="shared" si="4"/>
        <v>304.08</v>
      </c>
      <c r="K144" s="75">
        <v>304.08</v>
      </c>
      <c r="L144" s="43">
        <f t="shared" si="5"/>
        <v>0</v>
      </c>
      <c r="M144" s="25"/>
      <c r="N144" s="70" t="s">
        <v>33</v>
      </c>
    </row>
    <row r="145" spans="1:14">
      <c r="B145" s="84">
        <v>46073</v>
      </c>
      <c r="C145" s="73" t="s">
        <v>15</v>
      </c>
      <c r="D145" s="74" t="s">
        <v>655</v>
      </c>
      <c r="E145" s="75">
        <v>103.7</v>
      </c>
      <c r="F145" s="74" t="s">
        <v>29</v>
      </c>
      <c r="G145" s="74"/>
      <c r="H145" s="74" t="s">
        <v>656</v>
      </c>
      <c r="I145" s="84">
        <v>46073</v>
      </c>
      <c r="J145" s="75">
        <f t="shared" si="4"/>
        <v>103.7</v>
      </c>
      <c r="K145" s="75">
        <v>103.7</v>
      </c>
      <c r="L145" s="43">
        <f t="shared" si="5"/>
        <v>0</v>
      </c>
      <c r="M145" s="25"/>
      <c r="N145" s="70" t="s">
        <v>63</v>
      </c>
    </row>
    <row r="146" spans="1:14">
      <c r="B146" s="106">
        <v>46073</v>
      </c>
      <c r="C146" s="98" t="s">
        <v>15</v>
      </c>
      <c r="D146" s="99" t="s">
        <v>657</v>
      </c>
      <c r="E146" s="100">
        <v>356.42</v>
      </c>
      <c r="F146" s="99" t="s">
        <v>17</v>
      </c>
      <c r="G146" s="99" t="s">
        <v>21</v>
      </c>
      <c r="H146" s="99" t="s">
        <v>658</v>
      </c>
      <c r="I146" s="106">
        <v>46073</v>
      </c>
      <c r="J146" s="100">
        <f t="shared" si="4"/>
        <v>356.42</v>
      </c>
      <c r="K146" s="100">
        <v>356.42</v>
      </c>
      <c r="L146" s="43">
        <f t="shared" si="5"/>
        <v>0</v>
      </c>
      <c r="M146" s="25"/>
      <c r="N146" s="70" t="s">
        <v>56</v>
      </c>
    </row>
    <row r="147" spans="1:14">
      <c r="B147" s="106">
        <v>46073</v>
      </c>
      <c r="C147" s="98" t="s">
        <v>15</v>
      </c>
      <c r="D147" s="99" t="s">
        <v>659</v>
      </c>
      <c r="E147" s="100">
        <v>5548.6</v>
      </c>
      <c r="F147" s="99" t="s">
        <v>17</v>
      </c>
      <c r="G147" s="99" t="s">
        <v>21</v>
      </c>
      <c r="H147" s="99" t="s">
        <v>660</v>
      </c>
      <c r="I147" s="106">
        <v>46072</v>
      </c>
      <c r="J147" s="100">
        <f t="shared" si="4"/>
        <v>5548.6</v>
      </c>
      <c r="K147" s="100">
        <v>5548.6</v>
      </c>
      <c r="L147" s="43">
        <f t="shared" si="5"/>
        <v>0</v>
      </c>
      <c r="M147" s="25"/>
      <c r="N147" s="70" t="s">
        <v>56</v>
      </c>
    </row>
    <row r="148" spans="1:14">
      <c r="B148" s="106">
        <v>46073</v>
      </c>
      <c r="C148" s="98" t="s">
        <v>15</v>
      </c>
      <c r="D148" s="99" t="s">
        <v>661</v>
      </c>
      <c r="E148" s="100">
        <v>1269.78</v>
      </c>
      <c r="F148" s="99" t="s">
        <v>17</v>
      </c>
      <c r="G148" s="99" t="s">
        <v>18</v>
      </c>
      <c r="H148" s="99" t="s">
        <v>662</v>
      </c>
      <c r="I148" s="106">
        <v>46073</v>
      </c>
      <c r="J148" s="100">
        <f t="shared" si="4"/>
        <v>1269.78</v>
      </c>
      <c r="K148" s="100">
        <v>1269.78</v>
      </c>
      <c r="L148" s="43">
        <f t="shared" si="5"/>
        <v>0</v>
      </c>
      <c r="M148" s="25"/>
      <c r="N148" s="70" t="s">
        <v>56</v>
      </c>
    </row>
    <row r="149" spans="1:14">
      <c r="B149" s="106">
        <v>46073</v>
      </c>
      <c r="C149" s="98" t="s">
        <v>15</v>
      </c>
      <c r="D149" s="99" t="s">
        <v>663</v>
      </c>
      <c r="E149" s="100">
        <v>3197.36</v>
      </c>
      <c r="F149" s="99" t="s">
        <v>17</v>
      </c>
      <c r="G149" s="99" t="s">
        <v>18</v>
      </c>
      <c r="H149" s="99" t="s">
        <v>664</v>
      </c>
      <c r="I149" s="106">
        <v>46073</v>
      </c>
      <c r="J149" s="100">
        <f t="shared" si="4"/>
        <v>3197.36</v>
      </c>
      <c r="K149" s="100">
        <v>3197.36</v>
      </c>
      <c r="L149" s="43">
        <f t="shared" si="5"/>
        <v>0</v>
      </c>
      <c r="M149" s="25"/>
      <c r="N149" s="70" t="s">
        <v>56</v>
      </c>
    </row>
    <row r="150" spans="1:14">
      <c r="B150" s="84">
        <v>46074</v>
      </c>
      <c r="C150" s="73" t="s">
        <v>15</v>
      </c>
      <c r="D150" s="74" t="s">
        <v>665</v>
      </c>
      <c r="E150" s="75">
        <v>328.71</v>
      </c>
      <c r="F150" s="74" t="s">
        <v>17</v>
      </c>
      <c r="G150" s="74" t="s">
        <v>21</v>
      </c>
      <c r="H150" s="74" t="s">
        <v>666</v>
      </c>
      <c r="I150" s="84">
        <v>46073</v>
      </c>
      <c r="J150" s="75">
        <f t="shared" si="4"/>
        <v>328.71</v>
      </c>
      <c r="K150" s="75">
        <v>328.71</v>
      </c>
      <c r="L150" s="43">
        <f t="shared" si="5"/>
        <v>0</v>
      </c>
      <c r="M150" s="25"/>
      <c r="N150" s="70" t="s">
        <v>63</v>
      </c>
    </row>
    <row r="151" spans="1:14">
      <c r="B151" s="34">
        <v>46074</v>
      </c>
      <c r="C151" s="20" t="s">
        <v>15</v>
      </c>
      <c r="D151" s="21" t="s">
        <v>667</v>
      </c>
      <c r="E151" s="22">
        <v>107.02</v>
      </c>
      <c r="F151" s="21" t="s">
        <v>17</v>
      </c>
      <c r="G151" s="21" t="s">
        <v>37</v>
      </c>
      <c r="H151" s="21" t="s">
        <v>668</v>
      </c>
      <c r="I151" s="34">
        <v>46074</v>
      </c>
      <c r="J151" s="22">
        <f t="shared" si="4"/>
        <v>107.02</v>
      </c>
      <c r="K151" s="22">
        <v>107.02</v>
      </c>
      <c r="L151" s="43">
        <f t="shared" si="5"/>
        <v>0</v>
      </c>
      <c r="M151" s="25"/>
      <c r="N151" s="26"/>
    </row>
    <row r="152" spans="1:14">
      <c r="B152" s="110">
        <v>46074</v>
      </c>
      <c r="C152" s="46" t="s">
        <v>15</v>
      </c>
      <c r="D152" s="49" t="s">
        <v>669</v>
      </c>
      <c r="E152" s="90">
        <v>141.57</v>
      </c>
      <c r="F152" s="49" t="s">
        <v>29</v>
      </c>
      <c r="G152" s="49"/>
      <c r="H152" s="49" t="s">
        <v>670</v>
      </c>
      <c r="I152" s="110">
        <v>46074</v>
      </c>
      <c r="J152" s="90">
        <f t="shared" si="4"/>
        <v>141.57</v>
      </c>
      <c r="K152" s="90">
        <v>106.06</v>
      </c>
      <c r="L152" s="43">
        <f t="shared" si="5"/>
        <v>35.51</v>
      </c>
      <c r="M152" s="25"/>
      <c r="N152" s="70" t="s">
        <v>23</v>
      </c>
    </row>
    <row r="153" spans="1:14">
      <c r="B153" s="110"/>
      <c r="C153" s="46"/>
      <c r="D153" s="49"/>
      <c r="E153" s="90"/>
      <c r="F153" s="49" t="s">
        <v>29</v>
      </c>
      <c r="G153" s="49"/>
      <c r="H153" s="49" t="s">
        <v>671</v>
      </c>
      <c r="I153" s="110">
        <v>46074</v>
      </c>
      <c r="J153" s="90">
        <f t="shared" si="4"/>
        <v>0</v>
      </c>
      <c r="K153" s="90">
        <v>35.51</v>
      </c>
      <c r="L153" s="43">
        <f t="shared" si="5"/>
        <v>-35.51</v>
      </c>
      <c r="M153" s="25"/>
      <c r="N153" s="31"/>
    </row>
    <row r="154" spans="1:14">
      <c r="B154" s="34">
        <v>46076</v>
      </c>
      <c r="C154" s="20" t="s">
        <v>15</v>
      </c>
      <c r="D154" s="21" t="s">
        <v>672</v>
      </c>
      <c r="E154" s="22">
        <v>398.8</v>
      </c>
      <c r="F154" s="21" t="s">
        <v>17</v>
      </c>
      <c r="G154" s="21" t="s">
        <v>21</v>
      </c>
      <c r="H154" s="21" t="s">
        <v>673</v>
      </c>
      <c r="I154" s="34">
        <v>46076</v>
      </c>
      <c r="J154" s="22">
        <f t="shared" si="4"/>
        <v>398.8</v>
      </c>
      <c r="K154" s="22">
        <v>398.8</v>
      </c>
      <c r="L154" s="43">
        <f t="shared" si="5"/>
        <v>0</v>
      </c>
      <c r="M154" s="25"/>
      <c r="N154" s="26"/>
    </row>
    <row r="155" spans="1:14">
      <c r="A155" s="32"/>
      <c r="B155" s="34">
        <v>46076</v>
      </c>
      <c r="C155" s="20" t="s">
        <v>15</v>
      </c>
      <c r="D155" s="21" t="s">
        <v>674</v>
      </c>
      <c r="E155" s="22">
        <v>443.79</v>
      </c>
      <c r="F155" s="21" t="s">
        <v>29</v>
      </c>
      <c r="G155" s="21"/>
      <c r="H155" s="21" t="s">
        <v>675</v>
      </c>
      <c r="I155" s="34">
        <v>46076</v>
      </c>
      <c r="J155" s="22">
        <f t="shared" si="4"/>
        <v>443.79</v>
      </c>
      <c r="K155" s="22">
        <v>443.79</v>
      </c>
      <c r="L155" s="43">
        <f t="shared" si="5"/>
        <v>0</v>
      </c>
      <c r="M155" s="25"/>
      <c r="N155" s="26"/>
    </row>
    <row r="156" spans="1:14">
      <c r="A156" s="33"/>
      <c r="B156" s="84">
        <v>46076</v>
      </c>
      <c r="C156" s="73" t="s">
        <v>15</v>
      </c>
      <c r="D156" s="74" t="s">
        <v>676</v>
      </c>
      <c r="E156" s="75">
        <v>101.49</v>
      </c>
      <c r="F156" s="74" t="s">
        <v>17</v>
      </c>
      <c r="G156" s="74" t="s">
        <v>21</v>
      </c>
      <c r="H156" s="74" t="s">
        <v>677</v>
      </c>
      <c r="I156" s="84">
        <v>46076</v>
      </c>
      <c r="J156" s="75">
        <f t="shared" si="4"/>
        <v>101.49</v>
      </c>
      <c r="K156" s="75">
        <v>101.49</v>
      </c>
      <c r="L156" s="43">
        <f t="shared" si="5"/>
        <v>0</v>
      </c>
      <c r="M156" s="25"/>
      <c r="N156" s="70" t="s">
        <v>211</v>
      </c>
    </row>
    <row r="157" spans="1:14">
      <c r="B157" s="34">
        <v>46076</v>
      </c>
      <c r="C157" s="20" t="s">
        <v>15</v>
      </c>
      <c r="D157" s="21" t="s">
        <v>678</v>
      </c>
      <c r="E157" s="22">
        <v>749.3</v>
      </c>
      <c r="F157" s="21" t="s">
        <v>29</v>
      </c>
      <c r="G157" s="21"/>
      <c r="H157" s="21" t="s">
        <v>679</v>
      </c>
      <c r="I157" s="34">
        <v>46076</v>
      </c>
      <c r="J157" s="22">
        <f t="shared" si="4"/>
        <v>749.3</v>
      </c>
      <c r="K157" s="22">
        <v>749.3</v>
      </c>
      <c r="L157" s="43">
        <f t="shared" si="5"/>
        <v>0</v>
      </c>
      <c r="M157" s="25"/>
      <c r="N157" s="31"/>
    </row>
    <row r="158" spans="1:14">
      <c r="B158" s="84">
        <v>46076</v>
      </c>
      <c r="C158" s="73" t="s">
        <v>15</v>
      </c>
      <c r="D158" s="74" t="s">
        <v>680</v>
      </c>
      <c r="E158" s="75">
        <v>187.59</v>
      </c>
      <c r="F158" s="74" t="s">
        <v>17</v>
      </c>
      <c r="G158" s="74" t="s">
        <v>21</v>
      </c>
      <c r="H158" s="74" t="s">
        <v>681</v>
      </c>
      <c r="I158" s="84">
        <v>46076</v>
      </c>
      <c r="J158" s="75">
        <f t="shared" si="4"/>
        <v>187.59</v>
      </c>
      <c r="K158" s="75">
        <v>187.59</v>
      </c>
      <c r="L158" s="43">
        <f t="shared" si="5"/>
        <v>0</v>
      </c>
      <c r="M158" s="25"/>
      <c r="N158" s="70" t="s">
        <v>23</v>
      </c>
    </row>
    <row r="159" spans="1:14">
      <c r="B159" s="34">
        <v>46076</v>
      </c>
      <c r="C159" s="20" t="s">
        <v>15</v>
      </c>
      <c r="D159" s="21" t="s">
        <v>682</v>
      </c>
      <c r="E159" s="22">
        <v>1353.52</v>
      </c>
      <c r="F159" s="21" t="s">
        <v>17</v>
      </c>
      <c r="G159" s="21" t="s">
        <v>18</v>
      </c>
      <c r="H159" s="21" t="s">
        <v>683</v>
      </c>
      <c r="I159" s="34">
        <v>46076</v>
      </c>
      <c r="J159" s="22">
        <f t="shared" si="4"/>
        <v>1353.52</v>
      </c>
      <c r="K159" s="22">
        <v>1353.52</v>
      </c>
      <c r="L159" s="43">
        <f t="shared" si="5"/>
        <v>0</v>
      </c>
      <c r="M159" s="25"/>
      <c r="N159" s="26"/>
    </row>
    <row r="160" spans="1:14">
      <c r="B160" s="84">
        <v>46076</v>
      </c>
      <c r="C160" s="73" t="s">
        <v>15</v>
      </c>
      <c r="D160" s="74" t="s">
        <v>684</v>
      </c>
      <c r="E160" s="75">
        <v>398.8</v>
      </c>
      <c r="F160" s="74" t="s">
        <v>29</v>
      </c>
      <c r="G160" s="74"/>
      <c r="H160" s="74" t="s">
        <v>685</v>
      </c>
      <c r="I160" s="84">
        <v>46076</v>
      </c>
      <c r="J160" s="75">
        <f t="shared" si="4"/>
        <v>398.8</v>
      </c>
      <c r="K160" s="75">
        <v>398.8</v>
      </c>
      <c r="L160" s="43">
        <f t="shared" si="5"/>
        <v>0</v>
      </c>
      <c r="M160" s="25"/>
      <c r="N160" s="70" t="s">
        <v>33</v>
      </c>
    </row>
    <row r="161" spans="2:14">
      <c r="B161" s="84">
        <v>46076</v>
      </c>
      <c r="C161" s="73" t="s">
        <v>15</v>
      </c>
      <c r="D161" s="74" t="s">
        <v>686</v>
      </c>
      <c r="E161" s="75">
        <v>103.48</v>
      </c>
      <c r="F161" s="74" t="s">
        <v>17</v>
      </c>
      <c r="G161" s="74" t="s">
        <v>21</v>
      </c>
      <c r="H161" s="74" t="s">
        <v>687</v>
      </c>
      <c r="I161" s="84">
        <v>46076</v>
      </c>
      <c r="J161" s="75">
        <f t="shared" si="4"/>
        <v>103.48</v>
      </c>
      <c r="K161" s="75">
        <v>103.48</v>
      </c>
      <c r="L161" s="43">
        <f t="shared" si="5"/>
        <v>0</v>
      </c>
      <c r="M161" s="25"/>
      <c r="N161" s="70" t="s">
        <v>60</v>
      </c>
    </row>
    <row r="162" spans="2:14">
      <c r="B162" s="84">
        <v>46076</v>
      </c>
      <c r="C162" s="73" t="s">
        <v>15</v>
      </c>
      <c r="D162" s="74" t="s">
        <v>688</v>
      </c>
      <c r="E162" s="75">
        <v>592.81</v>
      </c>
      <c r="F162" s="74" t="s">
        <v>29</v>
      </c>
      <c r="G162" s="74"/>
      <c r="H162" s="74" t="s">
        <v>689</v>
      </c>
      <c r="I162" s="84">
        <v>46076</v>
      </c>
      <c r="J162" s="75">
        <f t="shared" si="4"/>
        <v>592.81</v>
      </c>
      <c r="K162" s="75">
        <v>500</v>
      </c>
      <c r="L162" s="43">
        <f t="shared" si="5"/>
        <v>92.8099999999999</v>
      </c>
      <c r="M162" s="25"/>
      <c r="N162" s="70" t="s">
        <v>23</v>
      </c>
    </row>
    <row r="163" spans="2:14">
      <c r="B163" s="84"/>
      <c r="C163" s="73"/>
      <c r="D163" s="74"/>
      <c r="E163" s="75"/>
      <c r="F163" s="74" t="s">
        <v>29</v>
      </c>
      <c r="G163" s="74"/>
      <c r="H163" s="74" t="s">
        <v>690</v>
      </c>
      <c r="I163" s="84">
        <v>46076</v>
      </c>
      <c r="J163" s="75">
        <f t="shared" si="4"/>
        <v>0</v>
      </c>
      <c r="K163" s="75">
        <v>92.81</v>
      </c>
      <c r="L163" s="43">
        <f t="shared" si="5"/>
        <v>-92.81</v>
      </c>
      <c r="M163" s="25"/>
      <c r="N163" s="31"/>
    </row>
    <row r="164" spans="2:14">
      <c r="B164" s="34">
        <v>46076</v>
      </c>
      <c r="C164" s="20" t="s">
        <v>64</v>
      </c>
      <c r="D164" s="21" t="s">
        <v>691</v>
      </c>
      <c r="E164" s="22">
        <v>35.9</v>
      </c>
      <c r="F164" s="21" t="s">
        <v>17</v>
      </c>
      <c r="G164" s="21" t="s">
        <v>21</v>
      </c>
      <c r="H164" s="21" t="s">
        <v>692</v>
      </c>
      <c r="I164" s="34">
        <v>46076</v>
      </c>
      <c r="J164" s="22">
        <f t="shared" si="4"/>
        <v>35.9</v>
      </c>
      <c r="K164" s="22">
        <v>35.9</v>
      </c>
      <c r="L164" s="43">
        <f t="shared" si="5"/>
        <v>0</v>
      </c>
      <c r="M164" s="25"/>
      <c r="N164" s="26"/>
    </row>
    <row r="165" spans="2:14">
      <c r="B165" s="34">
        <v>46077</v>
      </c>
      <c r="C165" s="20" t="s">
        <v>15</v>
      </c>
      <c r="D165" s="21" t="s">
        <v>693</v>
      </c>
      <c r="E165" s="22">
        <v>1196.39</v>
      </c>
      <c r="F165" s="21" t="s">
        <v>17</v>
      </c>
      <c r="G165" s="21" t="s">
        <v>21</v>
      </c>
      <c r="H165" s="21" t="s">
        <v>694</v>
      </c>
      <c r="I165" s="34">
        <v>46077</v>
      </c>
      <c r="J165" s="22">
        <f t="shared" si="4"/>
        <v>1196.39</v>
      </c>
      <c r="K165" s="22">
        <v>1196.39</v>
      </c>
      <c r="L165" s="43">
        <f t="shared" si="5"/>
        <v>0</v>
      </c>
      <c r="M165" s="25"/>
      <c r="N165" s="31"/>
    </row>
    <row r="166" spans="2:14">
      <c r="B166" s="84">
        <v>46077</v>
      </c>
      <c r="C166" s="73" t="s">
        <v>15</v>
      </c>
      <c r="D166" s="74" t="s">
        <v>695</v>
      </c>
      <c r="E166" s="75">
        <v>280.11</v>
      </c>
      <c r="F166" s="74" t="s">
        <v>17</v>
      </c>
      <c r="G166" s="74" t="s">
        <v>21</v>
      </c>
      <c r="H166" s="74" t="s">
        <v>696</v>
      </c>
      <c r="I166" s="84">
        <v>46077</v>
      </c>
      <c r="J166" s="75">
        <f t="shared" si="4"/>
        <v>280.11</v>
      </c>
      <c r="K166" s="75">
        <v>280.11</v>
      </c>
      <c r="L166" s="43">
        <f t="shared" si="5"/>
        <v>0</v>
      </c>
      <c r="M166" s="25"/>
      <c r="N166" s="70" t="s">
        <v>23</v>
      </c>
    </row>
    <row r="167" spans="2:14">
      <c r="B167" s="34">
        <v>46077</v>
      </c>
      <c r="C167" s="20" t="s">
        <v>15</v>
      </c>
      <c r="D167" s="21" t="s">
        <v>697</v>
      </c>
      <c r="E167" s="22">
        <v>289.08</v>
      </c>
      <c r="F167" s="21" t="s">
        <v>29</v>
      </c>
      <c r="G167" s="21"/>
      <c r="H167" s="21" t="s">
        <v>698</v>
      </c>
      <c r="I167" s="34">
        <v>46077</v>
      </c>
      <c r="J167" s="22">
        <f t="shared" ref="J167:J231" si="6">E167</f>
        <v>289.08</v>
      </c>
      <c r="K167" s="22">
        <v>289.08</v>
      </c>
      <c r="L167" s="43">
        <f t="shared" si="5"/>
        <v>0</v>
      </c>
      <c r="M167" s="25"/>
      <c r="N167" s="31"/>
    </row>
    <row r="168" spans="2:14">
      <c r="B168" s="84">
        <v>46077</v>
      </c>
      <c r="C168" s="73" t="s">
        <v>15</v>
      </c>
      <c r="D168" s="74" t="s">
        <v>699</v>
      </c>
      <c r="E168" s="75">
        <v>72.6</v>
      </c>
      <c r="F168" s="74" t="s">
        <v>17</v>
      </c>
      <c r="G168" s="74" t="s">
        <v>18</v>
      </c>
      <c r="H168" s="74" t="s">
        <v>700</v>
      </c>
      <c r="I168" s="84">
        <v>46077</v>
      </c>
      <c r="J168" s="75">
        <f t="shared" si="6"/>
        <v>72.6</v>
      </c>
      <c r="K168" s="75">
        <v>72.6</v>
      </c>
      <c r="L168" s="43">
        <f t="shared" si="5"/>
        <v>0</v>
      </c>
      <c r="M168" s="25"/>
      <c r="N168" s="70" t="s">
        <v>23</v>
      </c>
    </row>
    <row r="169" spans="2:14">
      <c r="B169" s="34">
        <v>46077</v>
      </c>
      <c r="C169" s="20" t="s">
        <v>15</v>
      </c>
      <c r="D169" s="21" t="s">
        <v>701</v>
      </c>
      <c r="E169" s="22">
        <v>101.49</v>
      </c>
      <c r="F169" s="21" t="s">
        <v>29</v>
      </c>
      <c r="G169" s="21"/>
      <c r="H169" s="21" t="s">
        <v>702</v>
      </c>
      <c r="I169" s="34">
        <v>46077</v>
      </c>
      <c r="J169" s="22">
        <f t="shared" si="6"/>
        <v>101.49</v>
      </c>
      <c r="K169" s="22">
        <v>101.49</v>
      </c>
      <c r="L169" s="43">
        <f t="shared" si="5"/>
        <v>0</v>
      </c>
      <c r="M169" s="25"/>
      <c r="N169" s="26"/>
    </row>
    <row r="170" spans="2:14">
      <c r="B170" s="34">
        <v>46077</v>
      </c>
      <c r="C170" s="20" t="s">
        <v>15</v>
      </c>
      <c r="D170" s="21" t="s">
        <v>703</v>
      </c>
      <c r="E170" s="22">
        <v>59.9</v>
      </c>
      <c r="F170" s="21" t="s">
        <v>29</v>
      </c>
      <c r="G170" s="21"/>
      <c r="H170" s="21" t="s">
        <v>704</v>
      </c>
      <c r="I170" s="34">
        <v>46077</v>
      </c>
      <c r="J170" s="22">
        <f t="shared" si="6"/>
        <v>59.9</v>
      </c>
      <c r="K170" s="22">
        <v>59.9</v>
      </c>
      <c r="L170" s="43">
        <f t="shared" si="5"/>
        <v>0</v>
      </c>
      <c r="M170" s="25"/>
      <c r="N170" s="31"/>
    </row>
    <row r="171" spans="2:14">
      <c r="B171" s="107">
        <v>46077</v>
      </c>
      <c r="C171" s="65" t="s">
        <v>15</v>
      </c>
      <c r="D171" s="66" t="s">
        <v>705</v>
      </c>
      <c r="E171" s="67">
        <v>405.97</v>
      </c>
      <c r="F171" s="66" t="s">
        <v>17</v>
      </c>
      <c r="G171" s="66" t="s">
        <v>18</v>
      </c>
      <c r="H171" s="66" t="s">
        <v>706</v>
      </c>
      <c r="I171" s="107">
        <v>46077</v>
      </c>
      <c r="J171" s="67">
        <f t="shared" si="6"/>
        <v>405.97</v>
      </c>
      <c r="K171" s="67">
        <v>405.97</v>
      </c>
      <c r="L171" s="43">
        <f t="shared" si="5"/>
        <v>0</v>
      </c>
      <c r="M171" s="25"/>
      <c r="N171" s="70" t="s">
        <v>366</v>
      </c>
    </row>
    <row r="172" spans="2:14">
      <c r="B172" s="106">
        <v>46077</v>
      </c>
      <c r="C172" s="98" t="s">
        <v>15</v>
      </c>
      <c r="D172" s="99" t="s">
        <v>707</v>
      </c>
      <c r="E172" s="100">
        <v>312.08</v>
      </c>
      <c r="F172" s="99" t="s">
        <v>17</v>
      </c>
      <c r="G172" s="99" t="s">
        <v>21</v>
      </c>
      <c r="H172" s="99" t="s">
        <v>708</v>
      </c>
      <c r="I172" s="106">
        <v>46077</v>
      </c>
      <c r="J172" s="100">
        <f t="shared" si="6"/>
        <v>312.08</v>
      </c>
      <c r="K172" s="100">
        <v>312.08</v>
      </c>
      <c r="L172" s="43">
        <f t="shared" si="5"/>
        <v>0</v>
      </c>
      <c r="M172" s="25"/>
      <c r="N172" s="70" t="s">
        <v>56</v>
      </c>
    </row>
    <row r="173" spans="2:14">
      <c r="B173" s="106">
        <v>46077</v>
      </c>
      <c r="C173" s="98" t="s">
        <v>15</v>
      </c>
      <c r="D173" s="99" t="s">
        <v>709</v>
      </c>
      <c r="E173" s="100">
        <v>451.56</v>
      </c>
      <c r="F173" s="99" t="s">
        <v>17</v>
      </c>
      <c r="G173" s="99" t="s">
        <v>18</v>
      </c>
      <c r="H173" s="99" t="s">
        <v>710</v>
      </c>
      <c r="I173" s="106">
        <v>46077</v>
      </c>
      <c r="J173" s="100">
        <f t="shared" si="6"/>
        <v>451.56</v>
      </c>
      <c r="K173" s="100">
        <v>451.56</v>
      </c>
      <c r="L173" s="43">
        <f t="shared" si="5"/>
        <v>0</v>
      </c>
      <c r="M173" s="25"/>
      <c r="N173" s="70" t="s">
        <v>56</v>
      </c>
    </row>
    <row r="174" spans="2:14">
      <c r="B174" s="34">
        <v>46078</v>
      </c>
      <c r="C174" s="20" t="s">
        <v>15</v>
      </c>
      <c r="D174" s="21" t="s">
        <v>711</v>
      </c>
      <c r="E174" s="22">
        <v>103.7</v>
      </c>
      <c r="F174" s="21" t="s">
        <v>17</v>
      </c>
      <c r="G174" s="21" t="s">
        <v>37</v>
      </c>
      <c r="H174" s="21" t="s">
        <v>712</v>
      </c>
      <c r="I174" s="34">
        <v>46078</v>
      </c>
      <c r="J174" s="22">
        <f t="shared" si="6"/>
        <v>103.7</v>
      </c>
      <c r="K174" s="22">
        <v>103.7</v>
      </c>
      <c r="L174" s="43">
        <f t="shared" si="5"/>
        <v>0</v>
      </c>
      <c r="M174" s="25"/>
      <c r="N174" s="31"/>
    </row>
    <row r="175" spans="2:14">
      <c r="B175" s="34">
        <v>46078</v>
      </c>
      <c r="C175" s="20" t="s">
        <v>15</v>
      </c>
      <c r="D175" s="21" t="s">
        <v>713</v>
      </c>
      <c r="E175" s="22">
        <v>786.37</v>
      </c>
      <c r="F175" s="21" t="s">
        <v>17</v>
      </c>
      <c r="G175" s="21" t="s">
        <v>21</v>
      </c>
      <c r="H175" s="21" t="s">
        <v>714</v>
      </c>
      <c r="I175" s="34">
        <v>46078</v>
      </c>
      <c r="J175" s="22">
        <f t="shared" si="6"/>
        <v>786.37</v>
      </c>
      <c r="K175" s="22">
        <v>786.37</v>
      </c>
      <c r="L175" s="43">
        <f t="shared" si="5"/>
        <v>0</v>
      </c>
      <c r="M175" s="25"/>
      <c r="N175" s="26"/>
    </row>
    <row r="176" spans="2:14">
      <c r="B176" s="34">
        <v>46078</v>
      </c>
      <c r="C176" s="20" t="s">
        <v>15</v>
      </c>
      <c r="D176" s="21" t="s">
        <v>715</v>
      </c>
      <c r="E176" s="22">
        <v>313.78</v>
      </c>
      <c r="F176" s="21" t="s">
        <v>17</v>
      </c>
      <c r="G176" s="21" t="s">
        <v>18</v>
      </c>
      <c r="H176" s="21" t="s">
        <v>716</v>
      </c>
      <c r="I176" s="34">
        <v>46078</v>
      </c>
      <c r="J176" s="22">
        <f t="shared" si="6"/>
        <v>313.78</v>
      </c>
      <c r="K176" s="22">
        <v>313.78</v>
      </c>
      <c r="L176" s="43">
        <f t="shared" si="5"/>
        <v>0</v>
      </c>
      <c r="M176" s="25"/>
      <c r="N176" s="31"/>
    </row>
    <row r="177" spans="2:14">
      <c r="B177" s="34">
        <v>46078</v>
      </c>
      <c r="C177" s="20" t="s">
        <v>15</v>
      </c>
      <c r="D177" s="21" t="s">
        <v>717</v>
      </c>
      <c r="E177" s="22">
        <v>405.97</v>
      </c>
      <c r="F177" s="21" t="s">
        <v>17</v>
      </c>
      <c r="G177" s="21" t="s">
        <v>18</v>
      </c>
      <c r="H177" s="21" t="s">
        <v>718</v>
      </c>
      <c r="I177" s="34">
        <v>46078</v>
      </c>
      <c r="J177" s="22">
        <f t="shared" si="6"/>
        <v>405.97</v>
      </c>
      <c r="K177" s="22">
        <v>405.97</v>
      </c>
      <c r="L177" s="43">
        <f t="shared" si="5"/>
        <v>0</v>
      </c>
      <c r="M177" s="25"/>
      <c r="N177" s="26"/>
    </row>
    <row r="178" spans="2:14">
      <c r="B178" s="107">
        <v>46078</v>
      </c>
      <c r="C178" s="65" t="s">
        <v>15</v>
      </c>
      <c r="D178" s="66" t="s">
        <v>719</v>
      </c>
      <c r="E178" s="67">
        <v>505.52</v>
      </c>
      <c r="F178" s="66" t="s">
        <v>17</v>
      </c>
      <c r="G178" s="66" t="s">
        <v>18</v>
      </c>
      <c r="H178" s="120" t="s">
        <v>720</v>
      </c>
      <c r="I178" s="107">
        <v>46078</v>
      </c>
      <c r="J178" s="67">
        <f t="shared" si="6"/>
        <v>505.52</v>
      </c>
      <c r="K178" s="67">
        <v>505.52</v>
      </c>
      <c r="L178" s="43">
        <f t="shared" si="5"/>
        <v>0</v>
      </c>
      <c r="M178" s="25"/>
      <c r="N178" s="70" t="s">
        <v>366</v>
      </c>
    </row>
    <row r="179" spans="2:14">
      <c r="B179" s="106">
        <v>46078</v>
      </c>
      <c r="C179" s="98" t="s">
        <v>15</v>
      </c>
      <c r="D179" s="99" t="s">
        <v>721</v>
      </c>
      <c r="E179" s="100">
        <v>104.55</v>
      </c>
      <c r="F179" s="99" t="s">
        <v>17</v>
      </c>
      <c r="G179" s="99" t="s">
        <v>21</v>
      </c>
      <c r="H179" s="99" t="s">
        <v>722</v>
      </c>
      <c r="I179" s="106">
        <v>46078</v>
      </c>
      <c r="J179" s="100">
        <f t="shared" si="6"/>
        <v>104.55</v>
      </c>
      <c r="K179" s="100">
        <v>104.55</v>
      </c>
      <c r="L179" s="43">
        <f t="shared" si="5"/>
        <v>0</v>
      </c>
      <c r="M179" s="25"/>
      <c r="N179" s="70" t="s">
        <v>56</v>
      </c>
    </row>
    <row r="180" spans="2:14">
      <c r="B180" s="106">
        <v>46078</v>
      </c>
      <c r="C180" s="98" t="s">
        <v>15</v>
      </c>
      <c r="D180" s="99" t="s">
        <v>723</v>
      </c>
      <c r="E180" s="100">
        <v>2067.59</v>
      </c>
      <c r="F180" s="99" t="s">
        <v>17</v>
      </c>
      <c r="G180" s="99" t="s">
        <v>18</v>
      </c>
      <c r="H180" s="99" t="s">
        <v>724</v>
      </c>
      <c r="I180" s="106">
        <v>46078</v>
      </c>
      <c r="J180" s="100">
        <f t="shared" si="6"/>
        <v>2067.59</v>
      </c>
      <c r="K180" s="100">
        <v>2067.59</v>
      </c>
      <c r="L180" s="43">
        <f t="shared" si="5"/>
        <v>0</v>
      </c>
      <c r="M180" s="25"/>
      <c r="N180" s="70" t="s">
        <v>56</v>
      </c>
    </row>
    <row r="181" spans="2:14">
      <c r="B181" s="106">
        <v>46078</v>
      </c>
      <c r="C181" s="98" t="s">
        <v>15</v>
      </c>
      <c r="D181" s="99" t="s">
        <v>725</v>
      </c>
      <c r="E181" s="100">
        <v>588.37</v>
      </c>
      <c r="F181" s="99" t="s">
        <v>17</v>
      </c>
      <c r="G181" s="99" t="s">
        <v>18</v>
      </c>
      <c r="H181" s="99" t="s">
        <v>726</v>
      </c>
      <c r="I181" s="106">
        <v>46078</v>
      </c>
      <c r="J181" s="100">
        <f t="shared" si="6"/>
        <v>588.37</v>
      </c>
      <c r="K181" s="100">
        <v>588.37</v>
      </c>
      <c r="L181" s="43">
        <f t="shared" si="5"/>
        <v>0</v>
      </c>
      <c r="M181" s="25"/>
      <c r="N181" s="70" t="s">
        <v>56</v>
      </c>
    </row>
    <row r="182" spans="2:14">
      <c r="B182" s="84">
        <v>46079</v>
      </c>
      <c r="C182" s="73" t="s">
        <v>15</v>
      </c>
      <c r="D182" s="74" t="s">
        <v>727</v>
      </c>
      <c r="E182" s="75">
        <v>115.73</v>
      </c>
      <c r="F182" s="74" t="s">
        <v>17</v>
      </c>
      <c r="G182" s="74" t="s">
        <v>21</v>
      </c>
      <c r="H182" s="74" t="s">
        <v>728</v>
      </c>
      <c r="I182" s="84">
        <v>46079</v>
      </c>
      <c r="J182" s="75">
        <f t="shared" si="6"/>
        <v>115.73</v>
      </c>
      <c r="K182" s="75">
        <v>115.73</v>
      </c>
      <c r="L182" s="43">
        <f t="shared" si="5"/>
        <v>0</v>
      </c>
      <c r="M182" s="25"/>
      <c r="N182" s="70" t="s">
        <v>224</v>
      </c>
    </row>
    <row r="183" spans="2:14">
      <c r="B183" s="34">
        <v>46079</v>
      </c>
      <c r="C183" s="20" t="s">
        <v>15</v>
      </c>
      <c r="D183" s="21" t="s">
        <v>729</v>
      </c>
      <c r="E183" s="22">
        <v>145.19</v>
      </c>
      <c r="F183" s="21" t="s">
        <v>29</v>
      </c>
      <c r="G183" s="21"/>
      <c r="H183" s="21" t="s">
        <v>730</v>
      </c>
      <c r="I183" s="34">
        <v>46079</v>
      </c>
      <c r="J183" s="22">
        <f t="shared" si="6"/>
        <v>145.19</v>
      </c>
      <c r="K183" s="22">
        <v>145.19</v>
      </c>
      <c r="L183" s="43">
        <f t="shared" si="5"/>
        <v>0</v>
      </c>
      <c r="M183" s="25"/>
      <c r="N183" s="26"/>
    </row>
    <row r="184" spans="2:14">
      <c r="B184" s="84">
        <v>46079</v>
      </c>
      <c r="C184" s="73" t="s">
        <v>15</v>
      </c>
      <c r="D184" s="74" t="s">
        <v>731</v>
      </c>
      <c r="E184" s="75">
        <v>684.45</v>
      </c>
      <c r="F184" s="74" t="s">
        <v>17</v>
      </c>
      <c r="G184" s="74" t="s">
        <v>21</v>
      </c>
      <c r="H184" s="74" t="s">
        <v>732</v>
      </c>
      <c r="I184" s="84">
        <v>46079</v>
      </c>
      <c r="J184" s="75">
        <f t="shared" si="6"/>
        <v>684.45</v>
      </c>
      <c r="K184" s="75">
        <v>684.45</v>
      </c>
      <c r="L184" s="43">
        <f t="shared" si="5"/>
        <v>0</v>
      </c>
      <c r="M184" s="25"/>
      <c r="N184" s="70" t="s">
        <v>23</v>
      </c>
    </row>
    <row r="185" spans="2:14">
      <c r="B185" s="34">
        <v>46079</v>
      </c>
      <c r="C185" s="20" t="s">
        <v>15</v>
      </c>
      <c r="D185" s="21" t="s">
        <v>733</v>
      </c>
      <c r="E185" s="22">
        <v>872.21</v>
      </c>
      <c r="F185" s="21" t="s">
        <v>29</v>
      </c>
      <c r="G185" s="21"/>
      <c r="H185" s="21" t="s">
        <v>734</v>
      </c>
      <c r="I185" s="34">
        <v>46079</v>
      </c>
      <c r="J185" s="22">
        <f t="shared" si="6"/>
        <v>872.21</v>
      </c>
      <c r="K185" s="22">
        <v>872.21</v>
      </c>
      <c r="L185" s="43">
        <f t="shared" si="5"/>
        <v>0</v>
      </c>
      <c r="M185" s="25"/>
      <c r="N185" s="31"/>
    </row>
    <row r="186" spans="2:14">
      <c r="B186" s="34">
        <v>46079</v>
      </c>
      <c r="C186" s="20" t="s">
        <v>15</v>
      </c>
      <c r="D186" s="21" t="s">
        <v>735</v>
      </c>
      <c r="E186" s="22">
        <v>550.54</v>
      </c>
      <c r="F186" s="21" t="s">
        <v>17</v>
      </c>
      <c r="G186" s="21" t="s">
        <v>21</v>
      </c>
      <c r="H186" s="21" t="s">
        <v>736</v>
      </c>
      <c r="I186" s="34">
        <v>46079</v>
      </c>
      <c r="J186" s="22">
        <f t="shared" si="6"/>
        <v>550.54</v>
      </c>
      <c r="K186" s="22">
        <v>550.54</v>
      </c>
      <c r="L186" s="43">
        <f t="shared" si="5"/>
        <v>0</v>
      </c>
      <c r="M186" s="25"/>
      <c r="N186" s="31"/>
    </row>
    <row r="187" spans="2:14">
      <c r="B187" s="34">
        <v>46079</v>
      </c>
      <c r="C187" s="20" t="s">
        <v>15</v>
      </c>
      <c r="D187" s="21" t="s">
        <v>737</v>
      </c>
      <c r="E187" s="22">
        <v>199.87</v>
      </c>
      <c r="F187" s="21" t="s">
        <v>29</v>
      </c>
      <c r="G187" s="21"/>
      <c r="H187" s="21" t="s">
        <v>738</v>
      </c>
      <c r="I187" s="34">
        <v>46079</v>
      </c>
      <c r="J187" s="22">
        <f t="shared" si="6"/>
        <v>199.87</v>
      </c>
      <c r="K187" s="22">
        <v>199.87</v>
      </c>
      <c r="L187" s="43">
        <f t="shared" si="5"/>
        <v>0</v>
      </c>
      <c r="M187" s="25"/>
      <c r="N187" s="26"/>
    </row>
    <row r="188" spans="2:14">
      <c r="B188" s="34">
        <v>46079</v>
      </c>
      <c r="C188" s="20" t="s">
        <v>15</v>
      </c>
      <c r="D188" s="21" t="s">
        <v>739</v>
      </c>
      <c r="E188" s="22">
        <v>166.38</v>
      </c>
      <c r="F188" s="21" t="s">
        <v>17</v>
      </c>
      <c r="G188" s="21" t="s">
        <v>37</v>
      </c>
      <c r="H188" s="21" t="s">
        <v>740</v>
      </c>
      <c r="I188" s="34">
        <v>46079</v>
      </c>
      <c r="J188" s="22">
        <f t="shared" si="6"/>
        <v>166.38</v>
      </c>
      <c r="K188" s="22">
        <v>166.38</v>
      </c>
      <c r="L188" s="43">
        <f t="shared" si="5"/>
        <v>0</v>
      </c>
      <c r="M188" s="25"/>
      <c r="N188" s="31"/>
    </row>
    <row r="189" spans="2:14">
      <c r="B189" s="34">
        <v>46079</v>
      </c>
      <c r="C189" s="20" t="s">
        <v>15</v>
      </c>
      <c r="D189" s="21" t="s">
        <v>741</v>
      </c>
      <c r="E189" s="22">
        <v>202.99</v>
      </c>
      <c r="F189" s="21" t="s">
        <v>17</v>
      </c>
      <c r="G189" s="21" t="s">
        <v>21</v>
      </c>
      <c r="H189" s="21" t="s">
        <v>742</v>
      </c>
      <c r="I189" s="34">
        <v>46079</v>
      </c>
      <c r="J189" s="22">
        <f t="shared" si="6"/>
        <v>202.99</v>
      </c>
      <c r="K189" s="22">
        <v>202.99</v>
      </c>
      <c r="L189" s="43">
        <f t="shared" si="5"/>
        <v>0</v>
      </c>
      <c r="M189" s="25"/>
      <c r="N189" s="31"/>
    </row>
    <row r="190" spans="2:14">
      <c r="B190" s="107">
        <v>46079</v>
      </c>
      <c r="C190" s="65" t="s">
        <v>15</v>
      </c>
      <c r="D190" s="66" t="s">
        <v>743</v>
      </c>
      <c r="E190" s="67">
        <v>199.87</v>
      </c>
      <c r="F190" s="66" t="s">
        <v>17</v>
      </c>
      <c r="G190" s="66" t="s">
        <v>21</v>
      </c>
      <c r="H190" s="66" t="s">
        <v>744</v>
      </c>
      <c r="I190" s="107">
        <v>46079</v>
      </c>
      <c r="J190" s="67">
        <f t="shared" si="6"/>
        <v>199.87</v>
      </c>
      <c r="K190" s="67">
        <v>199.87</v>
      </c>
      <c r="L190" s="43">
        <f t="shared" si="5"/>
        <v>0</v>
      </c>
      <c r="M190" s="25"/>
      <c r="N190" s="70" t="s">
        <v>366</v>
      </c>
    </row>
    <row r="191" spans="2:14">
      <c r="B191" s="107">
        <v>46079</v>
      </c>
      <c r="C191" s="65" t="s">
        <v>15</v>
      </c>
      <c r="D191" s="66" t="s">
        <v>745</v>
      </c>
      <c r="E191" s="67">
        <v>56.17</v>
      </c>
      <c r="F191" s="66" t="s">
        <v>17</v>
      </c>
      <c r="G191" s="66" t="s">
        <v>18</v>
      </c>
      <c r="H191" s="66" t="s">
        <v>746</v>
      </c>
      <c r="I191" s="107">
        <v>46079</v>
      </c>
      <c r="J191" s="67">
        <f t="shared" si="6"/>
        <v>56.17</v>
      </c>
      <c r="K191" s="67">
        <v>56.17</v>
      </c>
      <c r="L191" s="43">
        <f t="shared" si="5"/>
        <v>0</v>
      </c>
      <c r="M191" s="25"/>
      <c r="N191" s="70" t="s">
        <v>366</v>
      </c>
    </row>
    <row r="192" spans="2:14">
      <c r="B192" s="34">
        <v>46080</v>
      </c>
      <c r="C192" s="20" t="s">
        <v>15</v>
      </c>
      <c r="D192" s="21" t="s">
        <v>747</v>
      </c>
      <c r="E192" s="22">
        <v>325.66</v>
      </c>
      <c r="F192" s="21" t="s">
        <v>17</v>
      </c>
      <c r="G192" s="21" t="s">
        <v>21</v>
      </c>
      <c r="H192" s="21" t="s">
        <v>748</v>
      </c>
      <c r="I192" s="34">
        <v>46080</v>
      </c>
      <c r="J192" s="22">
        <f t="shared" si="6"/>
        <v>325.66</v>
      </c>
      <c r="K192" s="22">
        <v>325.66</v>
      </c>
      <c r="L192" s="43">
        <f t="shared" si="5"/>
        <v>0</v>
      </c>
      <c r="M192" s="25"/>
      <c r="N192" s="31"/>
    </row>
    <row r="193" spans="2:14">
      <c r="B193" s="34">
        <v>46080</v>
      </c>
      <c r="C193" s="20" t="s">
        <v>15</v>
      </c>
      <c r="D193" s="21" t="s">
        <v>749</v>
      </c>
      <c r="E193" s="22">
        <v>136.26</v>
      </c>
      <c r="F193" s="21" t="s">
        <v>471</v>
      </c>
      <c r="G193" s="21"/>
      <c r="H193" s="21"/>
      <c r="I193" s="34">
        <v>46080</v>
      </c>
      <c r="J193" s="22">
        <f t="shared" si="6"/>
        <v>136.26</v>
      </c>
      <c r="K193" s="22">
        <v>136.26</v>
      </c>
      <c r="L193" s="43">
        <f t="shared" si="5"/>
        <v>0</v>
      </c>
      <c r="M193" s="25"/>
      <c r="N193" s="31"/>
    </row>
    <row r="194" spans="2:14">
      <c r="B194" s="34">
        <v>46080</v>
      </c>
      <c r="C194" s="20" t="s">
        <v>15</v>
      </c>
      <c r="D194" s="21" t="s">
        <v>750</v>
      </c>
      <c r="E194" s="22">
        <v>84.45</v>
      </c>
      <c r="F194" s="21" t="s">
        <v>29</v>
      </c>
      <c r="G194" s="21"/>
      <c r="H194" s="21" t="s">
        <v>751</v>
      </c>
      <c r="I194" s="34">
        <v>46080</v>
      </c>
      <c r="J194" s="22">
        <f t="shared" si="6"/>
        <v>84.45</v>
      </c>
      <c r="K194" s="22">
        <v>84.45</v>
      </c>
      <c r="L194" s="43">
        <f t="shared" si="5"/>
        <v>0</v>
      </c>
      <c r="M194" s="25"/>
      <c r="N194" s="31"/>
    </row>
    <row r="195" spans="2:14">
      <c r="B195" s="34">
        <v>46080</v>
      </c>
      <c r="C195" s="20" t="s">
        <v>15</v>
      </c>
      <c r="D195" s="21" t="s">
        <v>752</v>
      </c>
      <c r="E195" s="22">
        <v>404.62</v>
      </c>
      <c r="F195" s="21" t="s">
        <v>17</v>
      </c>
      <c r="G195" s="21" t="s">
        <v>18</v>
      </c>
      <c r="H195" s="21" t="s">
        <v>753</v>
      </c>
      <c r="I195" s="34">
        <v>46080</v>
      </c>
      <c r="J195" s="22">
        <f t="shared" si="6"/>
        <v>404.62</v>
      </c>
      <c r="K195" s="22">
        <v>404.62</v>
      </c>
      <c r="L195" s="43">
        <f t="shared" si="5"/>
        <v>0</v>
      </c>
      <c r="M195" s="25"/>
      <c r="N195" s="31"/>
    </row>
    <row r="196" spans="2:14">
      <c r="B196" s="84">
        <v>46080</v>
      </c>
      <c r="C196" s="73" t="s">
        <v>15</v>
      </c>
      <c r="D196" s="74" t="s">
        <v>754</v>
      </c>
      <c r="E196" s="75">
        <v>53.97</v>
      </c>
      <c r="F196" s="74" t="s">
        <v>29</v>
      </c>
      <c r="G196" s="74"/>
      <c r="H196" s="74" t="s">
        <v>755</v>
      </c>
      <c r="I196" s="84">
        <v>46080</v>
      </c>
      <c r="J196" s="75">
        <f t="shared" si="6"/>
        <v>53.97</v>
      </c>
      <c r="K196" s="75">
        <v>53.97</v>
      </c>
      <c r="L196" s="43">
        <f t="shared" ref="L196:L203" si="7">J196-K196</f>
        <v>0</v>
      </c>
      <c r="M196" s="25"/>
      <c r="N196" s="70" t="s">
        <v>60</v>
      </c>
    </row>
    <row r="197" spans="2:14">
      <c r="B197" s="110">
        <v>46080</v>
      </c>
      <c r="C197" s="46" t="s">
        <v>15</v>
      </c>
      <c r="D197" s="49" t="s">
        <v>756</v>
      </c>
      <c r="E197" s="90">
        <v>924.38</v>
      </c>
      <c r="F197" s="49" t="s">
        <v>17</v>
      </c>
      <c r="G197" s="49" t="s">
        <v>21</v>
      </c>
      <c r="H197" s="49" t="s">
        <v>757</v>
      </c>
      <c r="I197" s="110">
        <v>46080</v>
      </c>
      <c r="J197" s="90">
        <f t="shared" si="6"/>
        <v>924.38</v>
      </c>
      <c r="K197" s="90">
        <v>924.38</v>
      </c>
      <c r="L197" s="43">
        <f t="shared" si="7"/>
        <v>0</v>
      </c>
      <c r="M197" s="25"/>
      <c r="N197" s="31"/>
    </row>
    <row r="198" spans="2:14">
      <c r="B198" s="110"/>
      <c r="C198" s="46"/>
      <c r="D198" s="49"/>
      <c r="E198" s="90"/>
      <c r="F198" s="49" t="s">
        <v>758</v>
      </c>
      <c r="G198" s="49"/>
      <c r="H198" s="49"/>
      <c r="I198" s="110"/>
      <c r="J198" s="90">
        <f t="shared" si="6"/>
        <v>0</v>
      </c>
      <c r="K198" s="90"/>
      <c r="L198" s="43">
        <f t="shared" si="7"/>
        <v>0</v>
      </c>
      <c r="M198" s="25"/>
      <c r="N198" s="31"/>
    </row>
    <row r="199" spans="2:14">
      <c r="B199" s="84">
        <v>46080</v>
      </c>
      <c r="C199" s="73" t="s">
        <v>15</v>
      </c>
      <c r="D199" s="74" t="s">
        <v>759</v>
      </c>
      <c r="E199" s="75">
        <v>373.87</v>
      </c>
      <c r="F199" s="74" t="s">
        <v>17</v>
      </c>
      <c r="G199" s="74" t="s">
        <v>21</v>
      </c>
      <c r="H199" s="74" t="s">
        <v>760</v>
      </c>
      <c r="I199" s="84">
        <v>46080</v>
      </c>
      <c r="J199" s="75">
        <f t="shared" si="6"/>
        <v>373.87</v>
      </c>
      <c r="K199" s="75">
        <v>373.87</v>
      </c>
      <c r="L199" s="43">
        <f t="shared" si="7"/>
        <v>0</v>
      </c>
      <c r="M199" s="25"/>
      <c r="N199" s="70" t="s">
        <v>39</v>
      </c>
    </row>
    <row r="200" spans="2:14">
      <c r="B200" s="106">
        <v>46080</v>
      </c>
      <c r="C200" s="98" t="s">
        <v>15</v>
      </c>
      <c r="D200" s="99" t="s">
        <v>761</v>
      </c>
      <c r="E200" s="100">
        <v>1313.14</v>
      </c>
      <c r="F200" s="99" t="s">
        <v>17</v>
      </c>
      <c r="G200" s="99" t="s">
        <v>21</v>
      </c>
      <c r="H200" s="99" t="s">
        <v>762</v>
      </c>
      <c r="I200" s="106">
        <v>46080</v>
      </c>
      <c r="J200" s="100">
        <f t="shared" si="6"/>
        <v>1313.14</v>
      </c>
      <c r="K200" s="100">
        <v>1313.14</v>
      </c>
      <c r="L200" s="43">
        <f t="shared" si="7"/>
        <v>0</v>
      </c>
      <c r="M200" s="25"/>
      <c r="N200" s="70" t="s">
        <v>56</v>
      </c>
    </row>
    <row r="201" spans="2:14">
      <c r="B201" s="106">
        <v>46080</v>
      </c>
      <c r="C201" s="98" t="s">
        <v>15</v>
      </c>
      <c r="D201" s="99" t="s">
        <v>763</v>
      </c>
      <c r="E201" s="100">
        <v>641.04</v>
      </c>
      <c r="F201" s="99" t="s">
        <v>17</v>
      </c>
      <c r="G201" s="99" t="s">
        <v>21</v>
      </c>
      <c r="H201" s="99" t="s">
        <v>764</v>
      </c>
      <c r="I201" s="106">
        <v>46080</v>
      </c>
      <c r="J201" s="100">
        <f t="shared" si="6"/>
        <v>641.04</v>
      </c>
      <c r="K201" s="100">
        <v>641.04</v>
      </c>
      <c r="L201" s="43">
        <f t="shared" si="7"/>
        <v>0</v>
      </c>
      <c r="M201" s="25"/>
      <c r="N201" s="70" t="s">
        <v>56</v>
      </c>
    </row>
    <row r="202" spans="2:14">
      <c r="B202" s="106">
        <v>46080</v>
      </c>
      <c r="C202" s="98" t="s">
        <v>15</v>
      </c>
      <c r="D202" s="99" t="s">
        <v>765</v>
      </c>
      <c r="E202" s="100">
        <v>679.89</v>
      </c>
      <c r="F202" s="99" t="s">
        <v>17</v>
      </c>
      <c r="G202" s="99" t="s">
        <v>18</v>
      </c>
      <c r="H202" s="106" t="s">
        <v>766</v>
      </c>
      <c r="I202" s="106">
        <v>46080</v>
      </c>
      <c r="J202" s="100">
        <f t="shared" si="6"/>
        <v>679.89</v>
      </c>
      <c r="K202" s="100">
        <v>310.53</v>
      </c>
      <c r="L202" s="43">
        <f t="shared" si="7"/>
        <v>369.36</v>
      </c>
      <c r="M202" s="25"/>
      <c r="N202" s="70" t="s">
        <v>56</v>
      </c>
    </row>
    <row r="203" spans="2:14">
      <c r="B203" s="106"/>
      <c r="C203" s="98"/>
      <c r="D203" s="99"/>
      <c r="E203" s="100"/>
      <c r="F203" s="99" t="s">
        <v>767</v>
      </c>
      <c r="G203" s="99"/>
      <c r="H203" s="99"/>
      <c r="I203" s="106"/>
      <c r="J203" s="100">
        <f t="shared" si="6"/>
        <v>0</v>
      </c>
      <c r="K203" s="100"/>
      <c r="L203" s="43">
        <f t="shared" si="7"/>
        <v>0</v>
      </c>
      <c r="M203" s="25"/>
      <c r="N203" s="31"/>
    </row>
    <row r="204" spans="2:14">
      <c r="B204" s="34">
        <v>46081</v>
      </c>
      <c r="C204" s="20" t="s">
        <v>15</v>
      </c>
      <c r="D204" s="21" t="s">
        <v>768</v>
      </c>
      <c r="E204" s="22">
        <v>159.52</v>
      </c>
      <c r="F204" s="21" t="s">
        <v>17</v>
      </c>
      <c r="G204" s="21" t="s">
        <v>21</v>
      </c>
      <c r="H204" s="21" t="s">
        <v>769</v>
      </c>
      <c r="I204" s="34">
        <v>46081</v>
      </c>
      <c r="J204" s="22">
        <f t="shared" si="6"/>
        <v>159.52</v>
      </c>
      <c r="K204" s="22">
        <v>159.52</v>
      </c>
      <c r="L204" s="43">
        <f t="shared" ref="L204:L267" si="8">J204-K204</f>
        <v>0</v>
      </c>
      <c r="M204" s="25"/>
      <c r="N204" s="31"/>
    </row>
    <row r="205" spans="2:14">
      <c r="B205" s="106">
        <v>46081</v>
      </c>
      <c r="C205" s="98" t="s">
        <v>15</v>
      </c>
      <c r="D205" s="99" t="s">
        <v>770</v>
      </c>
      <c r="E205" s="100">
        <v>416.69</v>
      </c>
      <c r="F205" s="99" t="s">
        <v>17</v>
      </c>
      <c r="G205" s="99" t="s">
        <v>21</v>
      </c>
      <c r="H205" s="99" t="s">
        <v>771</v>
      </c>
      <c r="I205" s="106">
        <v>46081</v>
      </c>
      <c r="J205" s="100">
        <f t="shared" si="6"/>
        <v>416.69</v>
      </c>
      <c r="K205" s="100">
        <v>491.69</v>
      </c>
      <c r="L205" s="43">
        <f t="shared" si="8"/>
        <v>-75</v>
      </c>
      <c r="M205" s="25"/>
      <c r="N205" s="70" t="s">
        <v>56</v>
      </c>
    </row>
    <row r="206" spans="2:14">
      <c r="B206" s="34"/>
      <c r="C206" s="20"/>
      <c r="D206" s="21"/>
      <c r="E206" s="22"/>
      <c r="F206" s="21"/>
      <c r="G206" s="21"/>
      <c r="H206" s="21"/>
      <c r="I206" s="34"/>
      <c r="J206" s="22">
        <f t="shared" si="6"/>
        <v>0</v>
      </c>
      <c r="K206" s="22"/>
      <c r="L206" s="43">
        <f t="shared" si="8"/>
        <v>0</v>
      </c>
      <c r="M206" s="25"/>
      <c r="N206" s="31"/>
    </row>
    <row r="207" spans="2:14">
      <c r="B207" s="34"/>
      <c r="C207" s="20"/>
      <c r="D207" s="21"/>
      <c r="E207" s="22"/>
      <c r="F207" s="21"/>
      <c r="G207" s="21"/>
      <c r="H207" s="21"/>
      <c r="I207" s="34"/>
      <c r="J207" s="22">
        <f t="shared" si="6"/>
        <v>0</v>
      </c>
      <c r="K207" s="22"/>
      <c r="L207" s="43">
        <f t="shared" si="8"/>
        <v>0</v>
      </c>
      <c r="M207" s="25"/>
      <c r="N207" s="31"/>
    </row>
    <row r="208" spans="2:14">
      <c r="B208" s="34"/>
      <c r="C208" s="20"/>
      <c r="D208" s="21"/>
      <c r="E208" s="22"/>
      <c r="F208" s="21"/>
      <c r="G208" s="21"/>
      <c r="H208" s="21"/>
      <c r="I208" s="34"/>
      <c r="J208" s="22">
        <f t="shared" si="6"/>
        <v>0</v>
      </c>
      <c r="K208" s="22"/>
      <c r="L208" s="43">
        <f t="shared" si="8"/>
        <v>0</v>
      </c>
      <c r="M208" s="25"/>
      <c r="N208" s="31"/>
    </row>
    <row r="209" spans="2:14">
      <c r="B209" s="34"/>
      <c r="C209" s="20"/>
      <c r="D209" s="21"/>
      <c r="E209" s="22"/>
      <c r="F209" s="21"/>
      <c r="G209" s="21"/>
      <c r="H209" s="21"/>
      <c r="I209" s="34"/>
      <c r="J209" s="22">
        <f t="shared" si="6"/>
        <v>0</v>
      </c>
      <c r="K209" s="22"/>
      <c r="L209" s="43">
        <f t="shared" si="8"/>
        <v>0</v>
      </c>
      <c r="M209" s="25"/>
      <c r="N209" s="31"/>
    </row>
    <row r="210" spans="2:14">
      <c r="B210" s="34"/>
      <c r="C210" s="20"/>
      <c r="D210" s="21"/>
      <c r="E210" s="22"/>
      <c r="F210" s="21"/>
      <c r="G210" s="21"/>
      <c r="H210" s="21"/>
      <c r="I210" s="34"/>
      <c r="J210" s="22">
        <f t="shared" si="6"/>
        <v>0</v>
      </c>
      <c r="K210" s="22"/>
      <c r="L210" s="43">
        <f t="shared" si="8"/>
        <v>0</v>
      </c>
      <c r="M210" s="25"/>
      <c r="N210" s="31"/>
    </row>
    <row r="211" spans="2:14">
      <c r="B211" s="34"/>
      <c r="C211" s="20"/>
      <c r="D211" s="21"/>
      <c r="E211" s="22"/>
      <c r="F211" s="21"/>
      <c r="G211" s="21"/>
      <c r="H211" s="21"/>
      <c r="I211" s="34"/>
      <c r="J211" s="22">
        <f t="shared" si="6"/>
        <v>0</v>
      </c>
      <c r="K211" s="22"/>
      <c r="L211" s="43">
        <f t="shared" si="8"/>
        <v>0</v>
      </c>
      <c r="M211" s="25"/>
      <c r="N211" s="31"/>
    </row>
    <row r="212" spans="2:14">
      <c r="B212" s="34"/>
      <c r="C212" s="20"/>
      <c r="D212" s="21"/>
      <c r="E212" s="22"/>
      <c r="F212" s="21"/>
      <c r="G212" s="21"/>
      <c r="H212" s="21"/>
      <c r="I212" s="34"/>
      <c r="J212" s="22">
        <f t="shared" si="6"/>
        <v>0</v>
      </c>
      <c r="K212" s="22"/>
      <c r="L212" s="43">
        <f t="shared" si="8"/>
        <v>0</v>
      </c>
      <c r="M212" s="25"/>
      <c r="N212" s="31"/>
    </row>
    <row r="213" spans="2:14">
      <c r="B213" s="34"/>
      <c r="C213" s="20"/>
      <c r="D213" s="21"/>
      <c r="E213" s="22"/>
      <c r="F213" s="21"/>
      <c r="G213" s="21"/>
      <c r="H213" s="21"/>
      <c r="I213" s="34"/>
      <c r="J213" s="22">
        <f t="shared" si="6"/>
        <v>0</v>
      </c>
      <c r="K213" s="22"/>
      <c r="L213" s="43">
        <f t="shared" si="8"/>
        <v>0</v>
      </c>
      <c r="M213" s="25"/>
      <c r="N213" s="31"/>
    </row>
    <row r="214" spans="2:14">
      <c r="B214" s="34"/>
      <c r="C214" s="20"/>
      <c r="D214" s="21"/>
      <c r="E214" s="22"/>
      <c r="F214" s="21"/>
      <c r="G214" s="21"/>
      <c r="H214" s="21"/>
      <c r="I214" s="34"/>
      <c r="J214" s="22">
        <f t="shared" si="6"/>
        <v>0</v>
      </c>
      <c r="K214" s="22"/>
      <c r="L214" s="43">
        <f t="shared" si="8"/>
        <v>0</v>
      </c>
      <c r="M214" s="25"/>
      <c r="N214" s="31"/>
    </row>
    <row r="215" spans="2:14">
      <c r="B215" s="34"/>
      <c r="C215" s="20"/>
      <c r="D215" s="21"/>
      <c r="E215" s="40"/>
      <c r="F215" s="40"/>
      <c r="G215" s="40"/>
      <c r="H215" s="40"/>
      <c r="I215" s="34"/>
      <c r="J215" s="22">
        <f t="shared" si="6"/>
        <v>0</v>
      </c>
      <c r="K215" s="40"/>
      <c r="L215" s="43">
        <f t="shared" si="8"/>
        <v>0</v>
      </c>
      <c r="M215" s="41"/>
      <c r="N215" s="42"/>
    </row>
    <row r="216" spans="2:14">
      <c r="B216" s="34"/>
      <c r="C216" s="20"/>
      <c r="D216" s="21"/>
      <c r="E216" s="40"/>
      <c r="F216" s="40"/>
      <c r="G216" s="40"/>
      <c r="H216" s="40"/>
      <c r="I216" s="34"/>
      <c r="J216" s="22">
        <f t="shared" si="6"/>
        <v>0</v>
      </c>
      <c r="K216" s="40"/>
      <c r="L216" s="43">
        <f t="shared" si="8"/>
        <v>0</v>
      </c>
      <c r="M216" s="41"/>
      <c r="N216" s="42"/>
    </row>
    <row r="217" spans="2:14">
      <c r="B217" s="34"/>
      <c r="C217" s="20"/>
      <c r="D217" s="40"/>
      <c r="E217" s="40"/>
      <c r="F217" s="21"/>
      <c r="G217" s="21"/>
      <c r="H217" s="40"/>
      <c r="I217" s="34"/>
      <c r="J217" s="22">
        <f t="shared" si="6"/>
        <v>0</v>
      </c>
      <c r="K217" s="40"/>
      <c r="L217" s="43">
        <f t="shared" si="8"/>
        <v>0</v>
      </c>
      <c r="M217" s="41"/>
      <c r="N217" s="42"/>
    </row>
    <row r="218" spans="2:14">
      <c r="B218" s="34"/>
      <c r="C218" s="20"/>
      <c r="D218" s="21"/>
      <c r="E218" s="22"/>
      <c r="F218" s="21"/>
      <c r="G218" s="21"/>
      <c r="H218" s="21"/>
      <c r="I218" s="34"/>
      <c r="J218" s="22">
        <f t="shared" si="6"/>
        <v>0</v>
      </c>
      <c r="K218" s="22"/>
      <c r="L218" s="43">
        <f t="shared" si="8"/>
        <v>0</v>
      </c>
      <c r="M218" s="25"/>
      <c r="N218" s="31"/>
    </row>
    <row r="219" spans="2:14">
      <c r="B219" s="34"/>
      <c r="C219" s="20"/>
      <c r="D219" s="21"/>
      <c r="E219" s="22"/>
      <c r="F219" s="21"/>
      <c r="G219" s="21"/>
      <c r="H219" s="21"/>
      <c r="I219" s="34"/>
      <c r="J219" s="22">
        <f t="shared" si="6"/>
        <v>0</v>
      </c>
      <c r="K219" s="22"/>
      <c r="L219" s="43">
        <f t="shared" si="8"/>
        <v>0</v>
      </c>
      <c r="M219" s="25"/>
      <c r="N219" s="31"/>
    </row>
    <row r="220" spans="2:14">
      <c r="B220" s="34"/>
      <c r="C220" s="20"/>
      <c r="D220" s="21"/>
      <c r="E220" s="22"/>
      <c r="F220" s="21"/>
      <c r="G220" s="21"/>
      <c r="H220" s="21"/>
      <c r="I220" s="34"/>
      <c r="J220" s="22">
        <f t="shared" si="6"/>
        <v>0</v>
      </c>
      <c r="K220" s="22"/>
      <c r="L220" s="43">
        <f t="shared" si="8"/>
        <v>0</v>
      </c>
      <c r="M220" s="25"/>
      <c r="N220" s="31"/>
    </row>
    <row r="221" spans="2:14">
      <c r="B221" s="34"/>
      <c r="C221" s="20"/>
      <c r="D221" s="21"/>
      <c r="E221" s="22"/>
      <c r="F221" s="21"/>
      <c r="G221" s="21"/>
      <c r="H221" s="21"/>
      <c r="I221" s="34"/>
      <c r="J221" s="22">
        <f t="shared" si="6"/>
        <v>0</v>
      </c>
      <c r="K221" s="22"/>
      <c r="L221" s="43">
        <f t="shared" si="8"/>
        <v>0</v>
      </c>
      <c r="M221" s="25"/>
      <c r="N221" s="24"/>
    </row>
    <row r="222" spans="2:14">
      <c r="B222" s="34"/>
      <c r="C222" s="20"/>
      <c r="D222" s="21"/>
      <c r="E222" s="22"/>
      <c r="F222" s="21"/>
      <c r="G222" s="21"/>
      <c r="H222" s="21"/>
      <c r="I222" s="34"/>
      <c r="J222" s="22">
        <f t="shared" si="6"/>
        <v>0</v>
      </c>
      <c r="K222" s="22"/>
      <c r="L222" s="43">
        <f t="shared" si="8"/>
        <v>0</v>
      </c>
      <c r="M222" s="25"/>
      <c r="N222" s="42"/>
    </row>
    <row r="223" spans="2:14">
      <c r="B223" s="34"/>
      <c r="C223" s="20"/>
      <c r="D223" s="21"/>
      <c r="E223" s="22"/>
      <c r="F223" s="21"/>
      <c r="G223" s="21"/>
      <c r="H223" s="21"/>
      <c r="I223" s="34"/>
      <c r="J223" s="22">
        <f t="shared" si="6"/>
        <v>0</v>
      </c>
      <c r="K223" s="22"/>
      <c r="L223" s="43">
        <f t="shared" si="8"/>
        <v>0</v>
      </c>
      <c r="M223" s="25"/>
      <c r="N223" s="42"/>
    </row>
    <row r="224" spans="2:14">
      <c r="B224" s="34"/>
      <c r="C224" s="20"/>
      <c r="D224" s="21"/>
      <c r="E224" s="22"/>
      <c r="F224" s="21"/>
      <c r="G224" s="21"/>
      <c r="H224" s="21"/>
      <c r="I224" s="34"/>
      <c r="J224" s="22">
        <f t="shared" si="6"/>
        <v>0</v>
      </c>
      <c r="K224" s="22"/>
      <c r="L224" s="43">
        <f t="shared" si="8"/>
        <v>0</v>
      </c>
      <c r="M224" s="25"/>
      <c r="N224" s="31"/>
    </row>
    <row r="225" spans="2:14">
      <c r="B225" s="34"/>
      <c r="C225" s="20"/>
      <c r="D225" s="21"/>
      <c r="E225" s="22"/>
      <c r="F225" s="21"/>
      <c r="G225" s="21"/>
      <c r="H225" s="21"/>
      <c r="I225" s="34"/>
      <c r="J225" s="22">
        <f t="shared" si="6"/>
        <v>0</v>
      </c>
      <c r="K225" s="22"/>
      <c r="L225" s="43">
        <f t="shared" si="8"/>
        <v>0</v>
      </c>
      <c r="M225" s="25"/>
      <c r="N225" s="31"/>
    </row>
    <row r="226" spans="2:14">
      <c r="B226" s="34"/>
      <c r="C226" s="20"/>
      <c r="D226" s="21"/>
      <c r="E226" s="22"/>
      <c r="F226" s="21"/>
      <c r="G226" s="21"/>
      <c r="H226" s="21"/>
      <c r="I226" s="21"/>
      <c r="J226" s="22">
        <f t="shared" si="6"/>
        <v>0</v>
      </c>
      <c r="K226" s="22"/>
      <c r="L226" s="43">
        <f t="shared" si="8"/>
        <v>0</v>
      </c>
      <c r="M226" s="25"/>
      <c r="N226" s="31"/>
    </row>
    <row r="227" spans="2:14">
      <c r="B227" s="34"/>
      <c r="C227" s="20"/>
      <c r="D227" s="21"/>
      <c r="E227" s="22"/>
      <c r="F227" s="21"/>
      <c r="G227" s="21"/>
      <c r="H227" s="21"/>
      <c r="I227" s="21"/>
      <c r="J227" s="22">
        <f t="shared" si="6"/>
        <v>0</v>
      </c>
      <c r="K227" s="22"/>
      <c r="L227" s="43">
        <f t="shared" si="8"/>
        <v>0</v>
      </c>
      <c r="M227" s="25"/>
      <c r="N227" s="24"/>
    </row>
    <row r="228" spans="2:14">
      <c r="B228" s="34"/>
      <c r="C228" s="20"/>
      <c r="D228" s="21"/>
      <c r="E228" s="22"/>
      <c r="F228" s="21"/>
      <c r="G228" s="21"/>
      <c r="H228" s="21"/>
      <c r="I228" s="21"/>
      <c r="J228" s="22">
        <f t="shared" si="6"/>
        <v>0</v>
      </c>
      <c r="K228" s="22"/>
      <c r="L228" s="43">
        <f t="shared" si="8"/>
        <v>0</v>
      </c>
      <c r="M228" s="25"/>
      <c r="N228" s="24"/>
    </row>
    <row r="229" spans="2:14">
      <c r="B229" s="34"/>
      <c r="C229" s="20"/>
      <c r="D229" s="21"/>
      <c r="E229" s="22"/>
      <c r="F229" s="21"/>
      <c r="G229" s="21"/>
      <c r="H229" s="21"/>
      <c r="I229" s="21"/>
      <c r="J229" s="22">
        <f t="shared" si="6"/>
        <v>0</v>
      </c>
      <c r="K229" s="22"/>
      <c r="L229" s="43">
        <f t="shared" si="8"/>
        <v>0</v>
      </c>
      <c r="M229" s="25"/>
      <c r="N229" s="24"/>
    </row>
    <row r="230" spans="2:14">
      <c r="B230" s="34"/>
      <c r="C230" s="20"/>
      <c r="D230" s="21"/>
      <c r="E230" s="22"/>
      <c r="F230" s="21"/>
      <c r="G230" s="21"/>
      <c r="H230" s="21"/>
      <c r="I230" s="21"/>
      <c r="J230" s="22">
        <f t="shared" si="6"/>
        <v>0</v>
      </c>
      <c r="K230" s="22"/>
      <c r="L230" s="43">
        <f t="shared" si="8"/>
        <v>0</v>
      </c>
      <c r="M230" s="25"/>
      <c r="N230" s="31"/>
    </row>
    <row r="231" spans="2:14">
      <c r="B231" s="34"/>
      <c r="C231" s="20"/>
      <c r="D231" s="21"/>
      <c r="E231" s="22"/>
      <c r="F231" s="21"/>
      <c r="G231" s="21"/>
      <c r="H231" s="21"/>
      <c r="I231" s="21"/>
      <c r="J231" s="22">
        <f t="shared" si="6"/>
        <v>0</v>
      </c>
      <c r="K231" s="22"/>
      <c r="L231" s="43">
        <f t="shared" si="8"/>
        <v>0</v>
      </c>
      <c r="M231" s="25"/>
      <c r="N231" s="24"/>
    </row>
    <row r="232" spans="2:14">
      <c r="B232" s="34"/>
      <c r="C232" s="20"/>
      <c r="D232" s="21"/>
      <c r="E232" s="22"/>
      <c r="F232" s="21"/>
      <c r="G232" s="21"/>
      <c r="H232" s="21"/>
      <c r="I232" s="21"/>
      <c r="J232" s="22">
        <f t="shared" ref="J232:J266" si="9">E232</f>
        <v>0</v>
      </c>
      <c r="K232" s="22"/>
      <c r="L232" s="43">
        <f t="shared" si="8"/>
        <v>0</v>
      </c>
      <c r="M232" s="25"/>
      <c r="N232" s="24"/>
    </row>
    <row r="233" spans="2:14">
      <c r="B233" s="34"/>
      <c r="C233" s="20"/>
      <c r="D233" s="21"/>
      <c r="E233" s="22"/>
      <c r="F233" s="21"/>
      <c r="G233" s="21"/>
      <c r="H233" s="21"/>
      <c r="I233" s="21"/>
      <c r="J233" s="22">
        <f t="shared" si="9"/>
        <v>0</v>
      </c>
      <c r="K233" s="22"/>
      <c r="L233" s="43">
        <f t="shared" si="8"/>
        <v>0</v>
      </c>
      <c r="M233" s="25"/>
      <c r="N233" s="24"/>
    </row>
    <row r="234" spans="2:14">
      <c r="B234" s="34"/>
      <c r="C234" s="20"/>
      <c r="D234" s="21"/>
      <c r="E234" s="22"/>
      <c r="F234" s="21"/>
      <c r="G234" s="21"/>
      <c r="H234" s="21"/>
      <c r="I234" s="21"/>
      <c r="J234" s="22">
        <f t="shared" si="9"/>
        <v>0</v>
      </c>
      <c r="K234" s="22"/>
      <c r="L234" s="43">
        <f t="shared" si="8"/>
        <v>0</v>
      </c>
      <c r="M234" s="25"/>
      <c r="N234" s="24"/>
    </row>
    <row r="235" spans="2:14">
      <c r="B235" s="34"/>
      <c r="C235" s="21"/>
      <c r="D235" s="21"/>
      <c r="E235" s="22"/>
      <c r="F235" s="21"/>
      <c r="G235" s="21"/>
      <c r="H235" s="21"/>
      <c r="I235" s="21"/>
      <c r="J235" s="22">
        <f t="shared" si="9"/>
        <v>0</v>
      </c>
      <c r="K235" s="22"/>
      <c r="L235" s="43">
        <f t="shared" si="8"/>
        <v>0</v>
      </c>
      <c r="M235" s="25"/>
      <c r="N235" s="24"/>
    </row>
    <row r="236" spans="2:14">
      <c r="B236" s="34"/>
      <c r="C236" s="21"/>
      <c r="D236" s="21"/>
      <c r="E236" s="22"/>
      <c r="F236" s="21"/>
      <c r="G236" s="21"/>
      <c r="H236" s="21"/>
      <c r="I236" s="21"/>
      <c r="J236" s="22">
        <f t="shared" si="9"/>
        <v>0</v>
      </c>
      <c r="K236" s="22"/>
      <c r="L236" s="43">
        <f t="shared" si="8"/>
        <v>0</v>
      </c>
      <c r="M236" s="25"/>
      <c r="N236" s="24"/>
    </row>
    <row r="237" spans="2:14">
      <c r="B237" s="34"/>
      <c r="C237" s="21"/>
      <c r="D237" s="21"/>
      <c r="E237" s="22"/>
      <c r="F237" s="21"/>
      <c r="G237" s="21"/>
      <c r="H237" s="21"/>
      <c r="I237" s="21"/>
      <c r="J237" s="22">
        <f t="shared" si="9"/>
        <v>0</v>
      </c>
      <c r="K237" s="22"/>
      <c r="L237" s="43">
        <f t="shared" si="8"/>
        <v>0</v>
      </c>
      <c r="M237" s="25"/>
      <c r="N237" s="24"/>
    </row>
    <row r="238" spans="2:14">
      <c r="B238" s="34"/>
      <c r="C238" s="21"/>
      <c r="D238" s="21"/>
      <c r="E238" s="22"/>
      <c r="F238" s="21"/>
      <c r="G238" s="21"/>
      <c r="H238" s="21"/>
      <c r="I238" s="21"/>
      <c r="J238" s="22">
        <f t="shared" si="9"/>
        <v>0</v>
      </c>
      <c r="K238" s="22"/>
      <c r="L238" s="43">
        <f t="shared" si="8"/>
        <v>0</v>
      </c>
      <c r="M238" s="25"/>
      <c r="N238" s="24"/>
    </row>
    <row r="239" spans="2:14">
      <c r="B239" s="34"/>
      <c r="C239" s="21"/>
      <c r="D239" s="21"/>
      <c r="E239" s="22"/>
      <c r="F239" s="21"/>
      <c r="G239" s="21"/>
      <c r="H239" s="21"/>
      <c r="I239" s="21"/>
      <c r="J239" s="22">
        <f t="shared" si="9"/>
        <v>0</v>
      </c>
      <c r="K239" s="22"/>
      <c r="L239" s="43">
        <f t="shared" si="8"/>
        <v>0</v>
      </c>
      <c r="M239" s="25"/>
      <c r="N239" s="24"/>
    </row>
    <row r="240" spans="2:14">
      <c r="B240" s="34"/>
      <c r="C240" s="21"/>
      <c r="D240" s="21"/>
      <c r="E240" s="22"/>
      <c r="F240" s="21"/>
      <c r="G240" s="21"/>
      <c r="H240" s="21"/>
      <c r="I240" s="21"/>
      <c r="J240" s="22">
        <f t="shared" si="9"/>
        <v>0</v>
      </c>
      <c r="K240" s="22"/>
      <c r="L240" s="43">
        <f t="shared" si="8"/>
        <v>0</v>
      </c>
      <c r="M240" s="25"/>
      <c r="N240" s="24"/>
    </row>
    <row r="241" spans="2:14">
      <c r="B241" s="34"/>
      <c r="C241" s="21"/>
      <c r="D241" s="21"/>
      <c r="E241" s="22"/>
      <c r="F241" s="21"/>
      <c r="G241" s="21"/>
      <c r="H241" s="21"/>
      <c r="I241" s="21"/>
      <c r="J241" s="22">
        <f t="shared" si="9"/>
        <v>0</v>
      </c>
      <c r="K241" s="22"/>
      <c r="L241" s="43">
        <f t="shared" si="8"/>
        <v>0</v>
      </c>
      <c r="M241" s="25"/>
      <c r="N241" s="24"/>
    </row>
    <row r="242" spans="2:14">
      <c r="B242" s="34"/>
      <c r="C242" s="21"/>
      <c r="D242" s="21"/>
      <c r="E242" s="22"/>
      <c r="F242" s="21"/>
      <c r="G242" s="21"/>
      <c r="H242" s="21"/>
      <c r="I242" s="21"/>
      <c r="J242" s="22">
        <f t="shared" si="9"/>
        <v>0</v>
      </c>
      <c r="K242" s="22"/>
      <c r="L242" s="43">
        <f t="shared" si="8"/>
        <v>0</v>
      </c>
      <c r="M242" s="25"/>
      <c r="N242" s="24"/>
    </row>
    <row r="243" spans="2:14">
      <c r="B243" s="34"/>
      <c r="C243" s="21"/>
      <c r="D243" s="21"/>
      <c r="E243" s="22"/>
      <c r="F243" s="21"/>
      <c r="G243" s="21"/>
      <c r="H243" s="21"/>
      <c r="I243" s="21"/>
      <c r="J243" s="22">
        <f t="shared" si="9"/>
        <v>0</v>
      </c>
      <c r="K243" s="22"/>
      <c r="L243" s="43">
        <f t="shared" si="8"/>
        <v>0</v>
      </c>
      <c r="M243" s="25"/>
      <c r="N243" s="24"/>
    </row>
    <row r="244" spans="2:14">
      <c r="B244" s="34"/>
      <c r="C244" s="21"/>
      <c r="D244" s="21"/>
      <c r="E244" s="22"/>
      <c r="F244" s="21"/>
      <c r="G244" s="21"/>
      <c r="H244" s="21"/>
      <c r="I244" s="21"/>
      <c r="J244" s="22">
        <f t="shared" si="9"/>
        <v>0</v>
      </c>
      <c r="K244" s="22"/>
      <c r="L244" s="43">
        <f t="shared" si="8"/>
        <v>0</v>
      </c>
      <c r="M244" s="25"/>
      <c r="N244" s="24"/>
    </row>
    <row r="245" spans="2:14">
      <c r="B245" s="34"/>
      <c r="C245" s="21"/>
      <c r="D245" s="21"/>
      <c r="E245" s="22"/>
      <c r="F245" s="21"/>
      <c r="G245" s="21"/>
      <c r="H245" s="21"/>
      <c r="I245" s="21"/>
      <c r="J245" s="22">
        <f t="shared" si="9"/>
        <v>0</v>
      </c>
      <c r="K245" s="22"/>
      <c r="L245" s="43">
        <f t="shared" si="8"/>
        <v>0</v>
      </c>
      <c r="M245" s="25"/>
      <c r="N245" s="24"/>
    </row>
    <row r="246" spans="2:14">
      <c r="B246" s="34"/>
      <c r="C246" s="21"/>
      <c r="D246" s="21"/>
      <c r="E246" s="22"/>
      <c r="F246" s="21"/>
      <c r="G246" s="21"/>
      <c r="H246" s="21"/>
      <c r="I246" s="21"/>
      <c r="J246" s="22">
        <f t="shared" si="9"/>
        <v>0</v>
      </c>
      <c r="K246" s="22"/>
      <c r="L246" s="43">
        <f t="shared" si="8"/>
        <v>0</v>
      </c>
      <c r="M246" s="25"/>
      <c r="N246" s="24"/>
    </row>
    <row r="247" spans="2:14">
      <c r="B247" s="34"/>
      <c r="C247" s="21"/>
      <c r="D247" s="21"/>
      <c r="E247" s="22"/>
      <c r="F247" s="21"/>
      <c r="G247" s="21"/>
      <c r="H247" s="21"/>
      <c r="I247" s="21"/>
      <c r="J247" s="22">
        <f t="shared" si="9"/>
        <v>0</v>
      </c>
      <c r="K247" s="22"/>
      <c r="L247" s="43">
        <f t="shared" si="8"/>
        <v>0</v>
      </c>
      <c r="M247" s="25"/>
      <c r="N247" s="24"/>
    </row>
    <row r="248" spans="2:14">
      <c r="B248" s="34"/>
      <c r="C248" s="21"/>
      <c r="D248" s="21"/>
      <c r="E248" s="22"/>
      <c r="F248" s="21"/>
      <c r="G248" s="21"/>
      <c r="H248" s="21"/>
      <c r="I248" s="21"/>
      <c r="J248" s="22">
        <f t="shared" si="9"/>
        <v>0</v>
      </c>
      <c r="K248" s="22"/>
      <c r="L248" s="43">
        <f t="shared" si="8"/>
        <v>0</v>
      </c>
      <c r="M248" s="25"/>
      <c r="N248" s="24"/>
    </row>
    <row r="249" spans="2:14">
      <c r="B249" s="34"/>
      <c r="C249" s="21"/>
      <c r="D249" s="21"/>
      <c r="E249" s="22"/>
      <c r="F249" s="21"/>
      <c r="G249" s="21"/>
      <c r="H249" s="21"/>
      <c r="I249" s="21"/>
      <c r="J249" s="22">
        <f t="shared" si="9"/>
        <v>0</v>
      </c>
      <c r="K249" s="22"/>
      <c r="L249" s="43">
        <f t="shared" si="8"/>
        <v>0</v>
      </c>
      <c r="M249" s="25"/>
      <c r="N249" s="24"/>
    </row>
    <row r="250" spans="2:14">
      <c r="B250" s="34"/>
      <c r="C250" s="21"/>
      <c r="D250" s="21"/>
      <c r="E250" s="22"/>
      <c r="F250" s="21"/>
      <c r="G250" s="21"/>
      <c r="H250" s="21"/>
      <c r="I250" s="21"/>
      <c r="J250" s="22">
        <f t="shared" si="9"/>
        <v>0</v>
      </c>
      <c r="K250" s="22"/>
      <c r="L250" s="43">
        <f t="shared" si="8"/>
        <v>0</v>
      </c>
      <c r="M250" s="25"/>
      <c r="N250" s="24"/>
    </row>
    <row r="251" spans="2:14">
      <c r="B251" s="34"/>
      <c r="C251" s="21"/>
      <c r="D251" s="21"/>
      <c r="E251" s="22"/>
      <c r="F251" s="21"/>
      <c r="G251" s="21"/>
      <c r="H251" s="21"/>
      <c r="I251" s="21"/>
      <c r="J251" s="22">
        <f t="shared" si="9"/>
        <v>0</v>
      </c>
      <c r="K251" s="22"/>
      <c r="L251" s="43">
        <f t="shared" si="8"/>
        <v>0</v>
      </c>
      <c r="M251" s="25"/>
      <c r="N251" s="24"/>
    </row>
    <row r="252" spans="2:14">
      <c r="B252" s="34"/>
      <c r="C252" s="21"/>
      <c r="D252" s="21"/>
      <c r="E252" s="22"/>
      <c r="F252" s="21"/>
      <c r="G252" s="21"/>
      <c r="H252" s="21"/>
      <c r="I252" s="21"/>
      <c r="J252" s="22">
        <f t="shared" si="9"/>
        <v>0</v>
      </c>
      <c r="K252" s="22"/>
      <c r="L252" s="43">
        <f t="shared" si="8"/>
        <v>0</v>
      </c>
      <c r="M252" s="25"/>
      <c r="N252" s="24"/>
    </row>
    <row r="253" spans="2:14">
      <c r="B253" s="34"/>
      <c r="C253" s="21"/>
      <c r="D253" s="21"/>
      <c r="E253" s="22"/>
      <c r="F253" s="21"/>
      <c r="G253" s="21"/>
      <c r="H253" s="21"/>
      <c r="I253" s="21"/>
      <c r="J253" s="22">
        <f t="shared" si="9"/>
        <v>0</v>
      </c>
      <c r="K253" s="22"/>
      <c r="L253" s="43">
        <f t="shared" si="8"/>
        <v>0</v>
      </c>
      <c r="M253" s="25"/>
      <c r="N253" s="24"/>
    </row>
    <row r="254" spans="2:14">
      <c r="B254" s="34"/>
      <c r="C254" s="21"/>
      <c r="D254" s="21"/>
      <c r="E254" s="22"/>
      <c r="F254" s="21"/>
      <c r="G254" s="21"/>
      <c r="H254" s="21"/>
      <c r="I254" s="21"/>
      <c r="J254" s="22">
        <f t="shared" si="9"/>
        <v>0</v>
      </c>
      <c r="K254" s="22"/>
      <c r="L254" s="43">
        <f t="shared" si="8"/>
        <v>0</v>
      </c>
      <c r="M254" s="25"/>
      <c r="N254" s="24"/>
    </row>
    <row r="255" spans="2:14">
      <c r="B255" s="34"/>
      <c r="C255" s="21"/>
      <c r="D255" s="21"/>
      <c r="E255" s="22"/>
      <c r="F255" s="21"/>
      <c r="G255" s="21"/>
      <c r="H255" s="21"/>
      <c r="I255" s="21"/>
      <c r="J255" s="22">
        <f t="shared" si="9"/>
        <v>0</v>
      </c>
      <c r="K255" s="22"/>
      <c r="L255" s="43">
        <f t="shared" si="8"/>
        <v>0</v>
      </c>
      <c r="M255" s="25"/>
      <c r="N255" s="24"/>
    </row>
    <row r="256" spans="2:14">
      <c r="B256" s="34"/>
      <c r="C256" s="21"/>
      <c r="D256" s="21"/>
      <c r="E256" s="22"/>
      <c r="F256" s="21"/>
      <c r="G256" s="21"/>
      <c r="H256" s="21"/>
      <c r="I256" s="21"/>
      <c r="J256" s="22">
        <f t="shared" si="9"/>
        <v>0</v>
      </c>
      <c r="K256" s="22"/>
      <c r="L256" s="43">
        <f t="shared" si="8"/>
        <v>0</v>
      </c>
      <c r="M256" s="25"/>
      <c r="N256" s="24"/>
    </row>
    <row r="257" spans="2:14">
      <c r="B257" s="34"/>
      <c r="C257" s="21"/>
      <c r="D257" s="21"/>
      <c r="E257" s="22"/>
      <c r="F257" s="21"/>
      <c r="G257" s="21"/>
      <c r="H257" s="21"/>
      <c r="I257" s="21"/>
      <c r="J257" s="22">
        <f t="shared" si="9"/>
        <v>0</v>
      </c>
      <c r="K257" s="22"/>
      <c r="L257" s="43">
        <f t="shared" si="8"/>
        <v>0</v>
      </c>
      <c r="M257" s="25"/>
      <c r="N257" s="24"/>
    </row>
    <row r="258" spans="2:14">
      <c r="B258" s="34"/>
      <c r="C258" s="21"/>
      <c r="D258" s="21"/>
      <c r="E258" s="22"/>
      <c r="F258" s="21"/>
      <c r="G258" s="21"/>
      <c r="H258" s="21"/>
      <c r="I258" s="21"/>
      <c r="J258" s="22">
        <f t="shared" si="9"/>
        <v>0</v>
      </c>
      <c r="K258" s="22"/>
      <c r="L258" s="43">
        <f t="shared" si="8"/>
        <v>0</v>
      </c>
      <c r="M258" s="25"/>
      <c r="N258" s="24"/>
    </row>
    <row r="259" spans="2:14">
      <c r="B259" s="34"/>
      <c r="C259" s="21"/>
      <c r="D259" s="21"/>
      <c r="E259" s="22"/>
      <c r="F259" s="21"/>
      <c r="G259" s="21"/>
      <c r="H259" s="21"/>
      <c r="I259" s="21"/>
      <c r="J259" s="22">
        <f t="shared" si="9"/>
        <v>0</v>
      </c>
      <c r="K259" s="22"/>
      <c r="L259" s="43">
        <f t="shared" si="8"/>
        <v>0</v>
      </c>
      <c r="M259" s="25"/>
      <c r="N259" s="24"/>
    </row>
    <row r="260" spans="2:14">
      <c r="B260" s="34"/>
      <c r="C260" s="21"/>
      <c r="D260" s="21"/>
      <c r="E260" s="22"/>
      <c r="F260" s="21"/>
      <c r="G260" s="21"/>
      <c r="H260" s="21"/>
      <c r="I260" s="21"/>
      <c r="J260" s="22">
        <f t="shared" si="9"/>
        <v>0</v>
      </c>
      <c r="K260" s="22"/>
      <c r="L260" s="43">
        <f t="shared" si="8"/>
        <v>0</v>
      </c>
      <c r="M260" s="25"/>
      <c r="N260" s="24"/>
    </row>
    <row r="261" spans="2:14">
      <c r="B261" s="34"/>
      <c r="C261" s="21"/>
      <c r="D261" s="21"/>
      <c r="E261" s="22"/>
      <c r="F261" s="21"/>
      <c r="G261" s="21"/>
      <c r="H261" s="21"/>
      <c r="I261" s="21"/>
      <c r="J261" s="22">
        <f t="shared" si="9"/>
        <v>0</v>
      </c>
      <c r="K261" s="22"/>
      <c r="L261" s="43">
        <f t="shared" si="8"/>
        <v>0</v>
      </c>
      <c r="M261" s="25"/>
      <c r="N261" s="24"/>
    </row>
    <row r="262" spans="2:14">
      <c r="B262" s="34"/>
      <c r="C262" s="21"/>
      <c r="D262" s="21"/>
      <c r="E262" s="22"/>
      <c r="F262" s="21"/>
      <c r="G262" s="21"/>
      <c r="H262" s="21"/>
      <c r="I262" s="21"/>
      <c r="J262" s="22">
        <f t="shared" si="9"/>
        <v>0</v>
      </c>
      <c r="K262" s="22"/>
      <c r="L262" s="43">
        <f t="shared" si="8"/>
        <v>0</v>
      </c>
      <c r="M262" s="25"/>
      <c r="N262" s="24"/>
    </row>
    <row r="263" spans="2:14">
      <c r="B263" s="34"/>
      <c r="C263" s="21"/>
      <c r="D263" s="21"/>
      <c r="E263" s="22"/>
      <c r="F263" s="21"/>
      <c r="G263" s="21"/>
      <c r="H263" s="21"/>
      <c r="I263" s="21"/>
      <c r="J263" s="22">
        <f t="shared" si="9"/>
        <v>0</v>
      </c>
      <c r="K263" s="22"/>
      <c r="L263" s="43">
        <f t="shared" si="8"/>
        <v>0</v>
      </c>
      <c r="M263" s="25"/>
      <c r="N263" s="24"/>
    </row>
    <row r="264" spans="2:14">
      <c r="B264" s="34"/>
      <c r="C264" s="21"/>
      <c r="D264" s="21"/>
      <c r="E264" s="22"/>
      <c r="F264" s="21"/>
      <c r="G264" s="21"/>
      <c r="H264" s="21"/>
      <c r="I264" s="21"/>
      <c r="J264" s="22">
        <f t="shared" si="9"/>
        <v>0</v>
      </c>
      <c r="K264" s="22"/>
      <c r="L264" s="43">
        <f t="shared" si="8"/>
        <v>0</v>
      </c>
      <c r="M264" s="25"/>
      <c r="N264" s="24"/>
    </row>
    <row r="265" spans="2:14">
      <c r="B265" s="34"/>
      <c r="C265" s="21"/>
      <c r="D265" s="21"/>
      <c r="E265" s="22"/>
      <c r="F265" s="21"/>
      <c r="G265" s="21"/>
      <c r="H265" s="21"/>
      <c r="I265" s="21"/>
      <c r="J265" s="22">
        <f t="shared" si="9"/>
        <v>0</v>
      </c>
      <c r="K265" s="22"/>
      <c r="L265" s="43">
        <f t="shared" si="8"/>
        <v>0</v>
      </c>
      <c r="M265" s="25"/>
      <c r="N265" s="24"/>
    </row>
    <row r="266" spans="2:14">
      <c r="B266" s="44"/>
      <c r="C266" s="21"/>
      <c r="D266" s="21"/>
      <c r="E266" s="22"/>
      <c r="F266" s="21"/>
      <c r="G266" s="21"/>
      <c r="H266" s="21"/>
      <c r="I266" s="21"/>
      <c r="J266" s="22">
        <f t="shared" si="9"/>
        <v>0</v>
      </c>
      <c r="K266" s="22"/>
      <c r="L266" s="43">
        <f t="shared" si="8"/>
        <v>0</v>
      </c>
      <c r="M266" s="25"/>
      <c r="N266" s="24"/>
    </row>
    <row r="267" spans="2:14">
      <c r="B267" s="45"/>
      <c r="C267" s="50"/>
      <c r="D267" s="47"/>
      <c r="E267" s="48">
        <f>SUM(E8:E266)</f>
        <v>92817.25</v>
      </c>
      <c r="F267" s="45"/>
      <c r="G267" s="45"/>
      <c r="H267" s="50"/>
      <c r="I267" s="51" t="s">
        <v>383</v>
      </c>
      <c r="J267" s="52">
        <f>SUBTOTAL(9,J8:J266)</f>
        <v>92817.25</v>
      </c>
      <c r="K267" s="52">
        <f>SUBTOTAL(9,K8:K266)</f>
        <v>92960.53</v>
      </c>
      <c r="L267" s="53">
        <f t="shared" si="8"/>
        <v>-143.279999999999</v>
      </c>
      <c r="M267" s="54"/>
      <c r="N267" s="53"/>
    </row>
    <row r="1048566" spans="2:7">
      <c r="B1048566" s="55"/>
    </row>
    <row r="1048570" spans="2:7">
      <c r="G1048570" s="23"/>
    </row>
  </sheetData>
  <autoFilter xmlns:etc="http://www.wps.cn/officeDocument/2017/etCustomData" ref="B6:N266" etc:filterBottomFollowUsedRange="0">
    <extLst/>
  </autoFilter>
  <mergeCells count="12">
    <mergeCell ref="B2:L2"/>
    <mergeCell ref="C4:D4"/>
    <mergeCell ref="G6:J6"/>
    <mergeCell ref="B6:B7"/>
    <mergeCell ref="C6:C7"/>
    <mergeCell ref="D6:D7"/>
    <mergeCell ref="E6:E7"/>
    <mergeCell ref="F6:F7"/>
    <mergeCell ref="K6:K7"/>
    <mergeCell ref="L6:L7"/>
    <mergeCell ref="M6:M7"/>
    <mergeCell ref="N6:N7"/>
  </mergeCells>
  <pageMargins left="0.7" right="0.7" top="0.75" bottom="0.75" header="0.3" footer="0.3"/>
  <pageSetup paperSize="1" orientation="portrait" horizontalDpi="360" verticalDpi="36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048574"/>
  <sheetViews>
    <sheetView topLeftCell="A184" workbookViewId="0">
      <selection activeCell="E218" sqref="E218"/>
    </sheetView>
  </sheetViews>
  <sheetFormatPr defaultColWidth="11" defaultRowHeight="15"/>
  <cols>
    <col min="1" max="1" width="3.85714285714286" customWidth="1"/>
    <col min="2" max="2" width="11" customWidth="1"/>
    <col min="3" max="3" width="6.14285714285714" customWidth="1"/>
    <col min="4" max="4" width="14.7142857142857" customWidth="1"/>
    <col min="5" max="5" width="12.5714285714286" customWidth="1"/>
    <col min="6" max="6" width="17.7142857142857" customWidth="1"/>
    <col min="8" max="8" width="12.1428571428571" customWidth="1"/>
    <col min="9" max="9" width="12.2857142857143" customWidth="1"/>
    <col min="10" max="10" width="14.2857142857143" customWidth="1"/>
    <col min="11" max="11" width="15.5714285714286" customWidth="1"/>
    <col min="12" max="12" width="11.4285714285714" customWidth="1"/>
    <col min="13" max="13" width="24.7142857142857" customWidth="1"/>
    <col min="14" max="14" width="18" customWidth="1"/>
  </cols>
  <sheetData>
    <row r="2" ht="21" spans="2:1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5.75"/>
    <row r="4" ht="15.75" spans="2:14">
      <c r="B4" s="3" t="s">
        <v>1</v>
      </c>
      <c r="C4" s="4">
        <f ca="1">TODAY()</f>
        <v>46247</v>
      </c>
      <c r="D4" s="5"/>
      <c r="M4" t="s">
        <v>772</v>
      </c>
    </row>
    <row r="6" spans="2:14">
      <c r="B6" s="6" t="s">
        <v>2</v>
      </c>
      <c r="C6" s="6" t="s">
        <v>3</v>
      </c>
      <c r="D6" s="6" t="s">
        <v>4</v>
      </c>
      <c r="E6" s="7" t="s">
        <v>5</v>
      </c>
      <c r="F6" s="7" t="s">
        <v>6</v>
      </c>
      <c r="G6" s="8" t="s">
        <v>7</v>
      </c>
      <c r="H6" s="9"/>
      <c r="I6" s="9"/>
      <c r="J6" s="10"/>
      <c r="K6" s="11" t="s">
        <v>8</v>
      </c>
      <c r="L6" s="11" t="s">
        <v>9</v>
      </c>
      <c r="M6" s="12" t="s">
        <v>10</v>
      </c>
      <c r="N6" s="12" t="s">
        <v>11</v>
      </c>
    </row>
    <row r="7" spans="2:14">
      <c r="B7" s="13"/>
      <c r="C7" s="13"/>
      <c r="D7" s="14"/>
      <c r="E7" s="13"/>
      <c r="F7" s="13"/>
      <c r="G7" s="15" t="s">
        <v>12</v>
      </c>
      <c r="H7" s="15" t="s">
        <v>13</v>
      </c>
      <c r="I7" s="15" t="s">
        <v>2</v>
      </c>
      <c r="J7" s="16" t="s">
        <v>14</v>
      </c>
      <c r="K7" s="17"/>
      <c r="L7" s="17"/>
      <c r="M7" s="17"/>
      <c r="N7" s="18"/>
    </row>
    <row r="8" spans="2:14">
      <c r="B8" s="72">
        <v>46083</v>
      </c>
      <c r="C8" s="73" t="s">
        <v>15</v>
      </c>
      <c r="D8" s="74" t="s">
        <v>773</v>
      </c>
      <c r="E8" s="75">
        <v>516.25</v>
      </c>
      <c r="F8" s="81" t="s">
        <v>17</v>
      </c>
      <c r="G8" s="81" t="s">
        <v>21</v>
      </c>
      <c r="H8" s="74" t="s">
        <v>774</v>
      </c>
      <c r="I8" s="72">
        <v>46083</v>
      </c>
      <c r="J8" s="75">
        <f t="shared" ref="J8:J71" si="0">E8</f>
        <v>516.25</v>
      </c>
      <c r="K8" s="75">
        <v>516.25</v>
      </c>
      <c r="L8" s="43">
        <f t="shared" ref="L8:L71" si="1">J8-K8</f>
        <v>0</v>
      </c>
      <c r="M8" s="25"/>
      <c r="N8" s="70" t="s">
        <v>23</v>
      </c>
    </row>
    <row r="9" spans="2:14">
      <c r="B9" s="72">
        <v>46083</v>
      </c>
      <c r="C9" s="73" t="s">
        <v>15</v>
      </c>
      <c r="D9" s="74" t="s">
        <v>775</v>
      </c>
      <c r="E9" s="96">
        <v>654.16</v>
      </c>
      <c r="F9" s="81" t="s">
        <v>17</v>
      </c>
      <c r="G9" s="81" t="s">
        <v>21</v>
      </c>
      <c r="H9" s="74" t="s">
        <v>776</v>
      </c>
      <c r="I9" s="72">
        <v>46083</v>
      </c>
      <c r="J9" s="75">
        <f t="shared" si="0"/>
        <v>654.16</v>
      </c>
      <c r="K9" s="96">
        <v>654.16</v>
      </c>
      <c r="L9" s="43">
        <f t="shared" si="1"/>
        <v>0</v>
      </c>
      <c r="M9" s="25"/>
      <c r="N9" s="70" t="s">
        <v>23</v>
      </c>
    </row>
    <row r="10" spans="2:14">
      <c r="B10" s="19">
        <v>46083</v>
      </c>
      <c r="C10" s="20" t="s">
        <v>15</v>
      </c>
      <c r="D10" s="21" t="s">
        <v>777</v>
      </c>
      <c r="E10" s="27">
        <v>145.19</v>
      </c>
      <c r="F10" s="23" t="s">
        <v>29</v>
      </c>
      <c r="G10" s="28"/>
      <c r="H10" s="28" t="s">
        <v>778</v>
      </c>
      <c r="I10" s="19">
        <v>46083</v>
      </c>
      <c r="J10" s="22">
        <f t="shared" si="0"/>
        <v>145.19</v>
      </c>
      <c r="K10" s="27">
        <v>145.19</v>
      </c>
      <c r="L10" s="43">
        <f t="shared" si="1"/>
        <v>0</v>
      </c>
      <c r="M10" s="25"/>
      <c r="N10" s="26"/>
    </row>
    <row r="11" spans="2:14">
      <c r="B11" s="19">
        <v>46083</v>
      </c>
      <c r="C11" s="20" t="s">
        <v>15</v>
      </c>
      <c r="D11" s="21" t="s">
        <v>779</v>
      </c>
      <c r="E11" s="29">
        <v>519.5</v>
      </c>
      <c r="F11" s="23" t="s">
        <v>17</v>
      </c>
      <c r="G11" s="23" t="s">
        <v>21</v>
      </c>
      <c r="H11" s="21" t="s">
        <v>780</v>
      </c>
      <c r="I11" s="19">
        <v>46083</v>
      </c>
      <c r="J11" s="22">
        <f t="shared" si="0"/>
        <v>519.5</v>
      </c>
      <c r="K11" s="29">
        <v>519.5</v>
      </c>
      <c r="L11" s="43">
        <f t="shared" si="1"/>
        <v>0</v>
      </c>
      <c r="M11" s="25"/>
      <c r="N11" s="26"/>
    </row>
    <row r="12" spans="2:14">
      <c r="B12" s="72">
        <v>46083</v>
      </c>
      <c r="C12" s="73" t="s">
        <v>15</v>
      </c>
      <c r="D12" s="74" t="s">
        <v>781</v>
      </c>
      <c r="E12" s="75">
        <v>609.2</v>
      </c>
      <c r="F12" s="81" t="s">
        <v>17</v>
      </c>
      <c r="G12" s="81" t="s">
        <v>21</v>
      </c>
      <c r="H12" s="81" t="s">
        <v>782</v>
      </c>
      <c r="I12" s="72">
        <v>46083</v>
      </c>
      <c r="J12" s="75">
        <f t="shared" si="0"/>
        <v>609.2</v>
      </c>
      <c r="K12" s="75">
        <v>609.2</v>
      </c>
      <c r="L12" s="43">
        <f t="shared" si="1"/>
        <v>0</v>
      </c>
      <c r="M12" s="25"/>
      <c r="N12" s="70" t="s">
        <v>60</v>
      </c>
    </row>
    <row r="13" spans="2:14">
      <c r="B13" s="72">
        <v>46083</v>
      </c>
      <c r="C13" s="73" t="s">
        <v>15</v>
      </c>
      <c r="D13" s="74" t="s">
        <v>783</v>
      </c>
      <c r="E13" s="96">
        <v>1436.9</v>
      </c>
      <c r="F13" s="76" t="s">
        <v>17</v>
      </c>
      <c r="G13" s="76" t="s">
        <v>18</v>
      </c>
      <c r="H13" s="87" t="s">
        <v>784</v>
      </c>
      <c r="I13" s="72">
        <v>46083</v>
      </c>
      <c r="J13" s="75">
        <f t="shared" si="0"/>
        <v>1436.9</v>
      </c>
      <c r="K13" s="96">
        <v>1436.9</v>
      </c>
      <c r="L13" s="43">
        <f t="shared" si="1"/>
        <v>0</v>
      </c>
      <c r="M13" s="25"/>
      <c r="N13" s="70" t="s">
        <v>23</v>
      </c>
    </row>
    <row r="14" spans="2:14">
      <c r="B14" s="19">
        <v>46084</v>
      </c>
      <c r="C14" s="20" t="s">
        <v>15</v>
      </c>
      <c r="D14" s="21" t="s">
        <v>785</v>
      </c>
      <c r="E14" s="22">
        <v>84.52</v>
      </c>
      <c r="F14" s="28" t="s">
        <v>29</v>
      </c>
      <c r="G14" s="28"/>
      <c r="H14" s="21" t="s">
        <v>786</v>
      </c>
      <c r="I14" s="19">
        <v>46084</v>
      </c>
      <c r="J14" s="22">
        <f t="shared" si="0"/>
        <v>84.52</v>
      </c>
      <c r="K14" s="22">
        <v>84.52</v>
      </c>
      <c r="L14" s="43">
        <f t="shared" si="1"/>
        <v>0</v>
      </c>
      <c r="M14" s="25"/>
      <c r="N14" s="26"/>
    </row>
    <row r="15" spans="2:14">
      <c r="B15" s="19">
        <v>46084</v>
      </c>
      <c r="C15" s="20" t="s">
        <v>15</v>
      </c>
      <c r="D15" s="21" t="s">
        <v>787</v>
      </c>
      <c r="E15" s="22">
        <v>561.69</v>
      </c>
      <c r="F15" s="23" t="s">
        <v>29</v>
      </c>
      <c r="G15" s="28"/>
      <c r="H15" s="21" t="s">
        <v>788</v>
      </c>
      <c r="I15" s="19">
        <v>46084</v>
      </c>
      <c r="J15" s="22">
        <f t="shared" si="0"/>
        <v>561.69</v>
      </c>
      <c r="K15" s="22">
        <v>561.69</v>
      </c>
      <c r="L15" s="43">
        <f t="shared" si="1"/>
        <v>0</v>
      </c>
      <c r="M15" s="25"/>
      <c r="N15" s="26"/>
    </row>
    <row r="16" spans="2:14">
      <c r="B16" s="19">
        <v>46084</v>
      </c>
      <c r="C16" s="20" t="s">
        <v>15</v>
      </c>
      <c r="D16" s="21" t="s">
        <v>789</v>
      </c>
      <c r="E16" s="22">
        <v>130.38</v>
      </c>
      <c r="F16" s="23" t="s">
        <v>17</v>
      </c>
      <c r="G16" s="23" t="s">
        <v>21</v>
      </c>
      <c r="H16" s="23" t="s">
        <v>790</v>
      </c>
      <c r="I16" s="19">
        <v>46084</v>
      </c>
      <c r="J16" s="22">
        <f t="shared" si="0"/>
        <v>130.38</v>
      </c>
      <c r="K16" s="22">
        <v>130.38</v>
      </c>
      <c r="L16" s="43">
        <f t="shared" si="1"/>
        <v>0</v>
      </c>
      <c r="M16" s="25"/>
      <c r="N16" s="26"/>
    </row>
    <row r="17" spans="2:14">
      <c r="B17" s="19">
        <v>46084</v>
      </c>
      <c r="C17" s="20" t="s">
        <v>15</v>
      </c>
      <c r="D17" s="21" t="s">
        <v>791</v>
      </c>
      <c r="E17" s="22">
        <v>429.52</v>
      </c>
      <c r="F17" s="23" t="s">
        <v>17</v>
      </c>
      <c r="G17" s="28" t="s">
        <v>18</v>
      </c>
      <c r="H17" s="21" t="s">
        <v>792</v>
      </c>
      <c r="I17" s="19">
        <v>46084</v>
      </c>
      <c r="J17" s="22">
        <f t="shared" si="0"/>
        <v>429.52</v>
      </c>
      <c r="K17" s="22">
        <v>429.52</v>
      </c>
      <c r="L17" s="43">
        <f t="shared" si="1"/>
        <v>0</v>
      </c>
      <c r="M17" s="25"/>
      <c r="N17" s="26"/>
    </row>
    <row r="18" spans="2:14">
      <c r="B18" s="19">
        <v>46084</v>
      </c>
      <c r="C18" s="20" t="s">
        <v>15</v>
      </c>
      <c r="D18" s="21" t="s">
        <v>793</v>
      </c>
      <c r="E18" s="22">
        <v>1595.18</v>
      </c>
      <c r="F18" s="23" t="s">
        <v>585</v>
      </c>
      <c r="G18" s="28"/>
      <c r="H18" s="21"/>
      <c r="I18" s="19">
        <v>46084</v>
      </c>
      <c r="J18" s="22">
        <f t="shared" si="0"/>
        <v>1595.18</v>
      </c>
      <c r="K18" s="22">
        <v>1595.18</v>
      </c>
      <c r="L18" s="43">
        <f t="shared" si="1"/>
        <v>0</v>
      </c>
      <c r="M18" s="25"/>
      <c r="N18" s="31"/>
    </row>
    <row r="19" spans="2:14">
      <c r="B19" s="19">
        <v>46084</v>
      </c>
      <c r="C19" s="20" t="s">
        <v>15</v>
      </c>
      <c r="D19" s="21" t="s">
        <v>794</v>
      </c>
      <c r="E19" s="22">
        <v>432.66</v>
      </c>
      <c r="F19" s="23" t="s">
        <v>29</v>
      </c>
      <c r="G19" s="23"/>
      <c r="H19" s="21" t="s">
        <v>795</v>
      </c>
      <c r="I19" s="19">
        <v>46084</v>
      </c>
      <c r="J19" s="22">
        <f t="shared" si="0"/>
        <v>432.66</v>
      </c>
      <c r="K19" s="22">
        <v>432.66</v>
      </c>
      <c r="L19" s="43">
        <f t="shared" si="1"/>
        <v>0</v>
      </c>
      <c r="M19" s="25"/>
      <c r="N19" s="31"/>
    </row>
    <row r="20" spans="2:14">
      <c r="B20" s="97">
        <v>46084</v>
      </c>
      <c r="C20" s="98" t="s">
        <v>15</v>
      </c>
      <c r="D20" s="99" t="s">
        <v>796</v>
      </c>
      <c r="E20" s="100">
        <v>526.28</v>
      </c>
      <c r="F20" s="101" t="s">
        <v>17</v>
      </c>
      <c r="G20" s="102" t="s">
        <v>18</v>
      </c>
      <c r="H20" s="99" t="s">
        <v>797</v>
      </c>
      <c r="I20" s="97">
        <v>46084</v>
      </c>
      <c r="J20" s="100">
        <f t="shared" si="0"/>
        <v>526.28</v>
      </c>
      <c r="K20" s="100">
        <v>526.28</v>
      </c>
      <c r="L20" s="43">
        <f t="shared" si="1"/>
        <v>0</v>
      </c>
      <c r="M20" s="25"/>
      <c r="N20" s="70" t="s">
        <v>56</v>
      </c>
    </row>
    <row r="21" spans="2:14">
      <c r="B21" s="97">
        <v>46084</v>
      </c>
      <c r="C21" s="98" t="s">
        <v>15</v>
      </c>
      <c r="D21" s="99" t="s">
        <v>798</v>
      </c>
      <c r="E21" s="100">
        <v>904.28</v>
      </c>
      <c r="F21" s="101" t="s">
        <v>17</v>
      </c>
      <c r="G21" s="101" t="s">
        <v>21</v>
      </c>
      <c r="H21" s="99" t="s">
        <v>799</v>
      </c>
      <c r="I21" s="97">
        <v>46084</v>
      </c>
      <c r="J21" s="100">
        <f t="shared" si="0"/>
        <v>904.28</v>
      </c>
      <c r="K21" s="100">
        <v>904.28</v>
      </c>
      <c r="L21" s="43">
        <f t="shared" si="1"/>
        <v>0</v>
      </c>
      <c r="M21" s="25"/>
      <c r="N21" s="70" t="s">
        <v>56</v>
      </c>
    </row>
    <row r="22" spans="2:14">
      <c r="B22" s="19">
        <v>46115</v>
      </c>
      <c r="C22" s="20" t="s">
        <v>15</v>
      </c>
      <c r="D22" s="21" t="s">
        <v>800</v>
      </c>
      <c r="E22" s="22">
        <v>188.49</v>
      </c>
      <c r="F22" s="23" t="s">
        <v>29</v>
      </c>
      <c r="G22" s="28"/>
      <c r="H22" s="21" t="s">
        <v>801</v>
      </c>
      <c r="I22" s="19">
        <v>46115</v>
      </c>
      <c r="J22" s="22">
        <f t="shared" si="0"/>
        <v>188.49</v>
      </c>
      <c r="K22" s="22">
        <v>188.49</v>
      </c>
      <c r="L22" s="43">
        <f t="shared" si="1"/>
        <v>0</v>
      </c>
      <c r="M22" s="25"/>
      <c r="N22" s="26"/>
    </row>
    <row r="23" spans="2:14">
      <c r="B23" s="19">
        <v>46115</v>
      </c>
      <c r="C23" s="20" t="s">
        <v>15</v>
      </c>
      <c r="D23" s="21" t="s">
        <v>802</v>
      </c>
      <c r="E23" s="22">
        <v>146.38</v>
      </c>
      <c r="F23" s="23" t="s">
        <v>29</v>
      </c>
      <c r="G23" s="28"/>
      <c r="H23" s="23" t="s">
        <v>803</v>
      </c>
      <c r="I23" s="19">
        <v>46115</v>
      </c>
      <c r="J23" s="22">
        <f t="shared" si="0"/>
        <v>146.38</v>
      </c>
      <c r="K23" s="22">
        <v>146.38</v>
      </c>
      <c r="L23" s="43">
        <f t="shared" si="1"/>
        <v>0</v>
      </c>
      <c r="M23" s="25"/>
      <c r="N23" s="26"/>
    </row>
    <row r="24" spans="2:14">
      <c r="B24" s="19">
        <v>46115</v>
      </c>
      <c r="C24" s="20" t="s">
        <v>15</v>
      </c>
      <c r="D24" s="21" t="s">
        <v>804</v>
      </c>
      <c r="E24" s="22">
        <v>442.17</v>
      </c>
      <c r="F24" s="21" t="s">
        <v>17</v>
      </c>
      <c r="G24" s="28" t="s">
        <v>18</v>
      </c>
      <c r="H24" s="21" t="s">
        <v>805</v>
      </c>
      <c r="I24" s="19">
        <v>46115</v>
      </c>
      <c r="J24" s="22">
        <f t="shared" si="0"/>
        <v>442.17</v>
      </c>
      <c r="K24" s="22">
        <v>442.17</v>
      </c>
      <c r="L24" s="43">
        <f t="shared" si="1"/>
        <v>0</v>
      </c>
      <c r="M24" s="25"/>
      <c r="N24" s="31"/>
    </row>
    <row r="25" spans="2:14">
      <c r="B25" s="19">
        <v>46115</v>
      </c>
      <c r="C25" s="20" t="s">
        <v>15</v>
      </c>
      <c r="D25" s="21" t="s">
        <v>806</v>
      </c>
      <c r="E25" s="22">
        <v>888.68</v>
      </c>
      <c r="F25" s="21" t="s">
        <v>17</v>
      </c>
      <c r="G25" s="28" t="s">
        <v>21</v>
      </c>
      <c r="H25" s="21" t="s">
        <v>807</v>
      </c>
      <c r="I25" s="19">
        <v>46115</v>
      </c>
      <c r="J25" s="22">
        <f t="shared" si="0"/>
        <v>888.68</v>
      </c>
      <c r="K25" s="22">
        <v>888.68</v>
      </c>
      <c r="L25" s="43">
        <f t="shared" si="1"/>
        <v>0</v>
      </c>
      <c r="M25" s="25"/>
      <c r="N25" s="26"/>
    </row>
    <row r="26" spans="2:14">
      <c r="B26" s="19">
        <v>46115</v>
      </c>
      <c r="C26" s="20" t="s">
        <v>15</v>
      </c>
      <c r="D26" s="21" t="s">
        <v>808</v>
      </c>
      <c r="E26" s="22">
        <v>195.4</v>
      </c>
      <c r="F26" s="21" t="s">
        <v>17</v>
      </c>
      <c r="G26" s="28" t="s">
        <v>21</v>
      </c>
      <c r="H26" s="21" t="s">
        <v>809</v>
      </c>
      <c r="I26" s="19">
        <v>46115</v>
      </c>
      <c r="J26" s="22">
        <f t="shared" si="0"/>
        <v>195.4</v>
      </c>
      <c r="K26" s="22">
        <v>195.4</v>
      </c>
      <c r="L26" s="43">
        <f t="shared" si="1"/>
        <v>0</v>
      </c>
      <c r="M26" s="25"/>
      <c r="N26" s="26"/>
    </row>
    <row r="27" spans="2:14">
      <c r="B27" s="19">
        <v>46115</v>
      </c>
      <c r="C27" s="20" t="s">
        <v>15</v>
      </c>
      <c r="D27" s="21" t="s">
        <v>810</v>
      </c>
      <c r="E27" s="22">
        <v>153.8</v>
      </c>
      <c r="F27" s="21" t="s">
        <v>29</v>
      </c>
      <c r="G27" s="23"/>
      <c r="H27" s="21" t="s">
        <v>811</v>
      </c>
      <c r="I27" s="19">
        <v>46115</v>
      </c>
      <c r="J27" s="22">
        <f t="shared" si="0"/>
        <v>153.8</v>
      </c>
      <c r="K27" s="22">
        <v>153.8</v>
      </c>
      <c r="L27" s="43">
        <f t="shared" si="1"/>
        <v>0</v>
      </c>
      <c r="M27" s="25"/>
      <c r="N27" s="31"/>
    </row>
    <row r="28" spans="2:14">
      <c r="B28" s="89">
        <v>46115</v>
      </c>
      <c r="C28" s="46" t="s">
        <v>15</v>
      </c>
      <c r="D28" s="49" t="s">
        <v>812</v>
      </c>
      <c r="E28" s="90">
        <v>375.18</v>
      </c>
      <c r="F28" s="49" t="s">
        <v>813</v>
      </c>
      <c r="G28" s="103"/>
      <c r="H28" s="49"/>
      <c r="I28" s="89">
        <v>46115</v>
      </c>
      <c r="J28" s="90">
        <f t="shared" si="0"/>
        <v>375.18</v>
      </c>
      <c r="K28" s="90">
        <v>375.18</v>
      </c>
      <c r="L28" s="43">
        <f t="shared" si="1"/>
        <v>0</v>
      </c>
      <c r="M28" s="25"/>
      <c r="N28" s="26"/>
    </row>
    <row r="29" spans="2:14">
      <c r="B29" s="97">
        <v>46115</v>
      </c>
      <c r="C29" s="98" t="s">
        <v>15</v>
      </c>
      <c r="D29" s="99" t="s">
        <v>814</v>
      </c>
      <c r="E29" s="100">
        <v>3252.84</v>
      </c>
      <c r="F29" s="99" t="s">
        <v>17</v>
      </c>
      <c r="G29" s="102" t="s">
        <v>21</v>
      </c>
      <c r="H29" s="99" t="s">
        <v>815</v>
      </c>
      <c r="I29" s="97">
        <v>46115</v>
      </c>
      <c r="J29" s="100">
        <f t="shared" si="0"/>
        <v>3252.84</v>
      </c>
      <c r="K29" s="100">
        <v>3252.84</v>
      </c>
      <c r="L29" s="43">
        <f t="shared" si="1"/>
        <v>0</v>
      </c>
      <c r="M29" s="25"/>
      <c r="N29" s="70" t="s">
        <v>56</v>
      </c>
    </row>
    <row r="30" spans="2:14">
      <c r="B30" s="97">
        <v>46115</v>
      </c>
      <c r="C30" s="98" t="s">
        <v>15</v>
      </c>
      <c r="D30" s="99" t="s">
        <v>816</v>
      </c>
      <c r="E30" s="100">
        <v>973.87</v>
      </c>
      <c r="F30" s="99" t="s">
        <v>17</v>
      </c>
      <c r="G30" s="102" t="s">
        <v>21</v>
      </c>
      <c r="H30" s="99" t="s">
        <v>817</v>
      </c>
      <c r="I30" s="97">
        <v>46115</v>
      </c>
      <c r="J30" s="100">
        <f t="shared" si="0"/>
        <v>973.87</v>
      </c>
      <c r="K30" s="100">
        <v>973.87</v>
      </c>
      <c r="L30" s="43">
        <f t="shared" si="1"/>
        <v>0</v>
      </c>
      <c r="M30" s="25"/>
      <c r="N30" s="70" t="s">
        <v>56</v>
      </c>
    </row>
    <row r="31" spans="2:14">
      <c r="B31" s="97"/>
      <c r="C31" s="98"/>
      <c r="D31" s="99"/>
      <c r="E31" s="100"/>
      <c r="F31" s="99" t="s">
        <v>71</v>
      </c>
      <c r="G31" s="102"/>
      <c r="H31" s="99"/>
      <c r="I31" s="97"/>
      <c r="J31" s="100">
        <f t="shared" si="0"/>
        <v>0</v>
      </c>
      <c r="K31" s="100"/>
      <c r="L31" s="43">
        <f t="shared" si="1"/>
        <v>0</v>
      </c>
      <c r="M31" s="25"/>
      <c r="N31" s="26"/>
    </row>
    <row r="32" spans="2:14">
      <c r="B32" s="19">
        <v>46145</v>
      </c>
      <c r="C32" s="20" t="s">
        <v>15</v>
      </c>
      <c r="D32" s="21" t="s">
        <v>818</v>
      </c>
      <c r="E32" s="22">
        <v>556.03</v>
      </c>
      <c r="F32" s="21" t="s">
        <v>17</v>
      </c>
      <c r="G32" s="21" t="s">
        <v>21</v>
      </c>
      <c r="H32" s="21" t="s">
        <v>819</v>
      </c>
      <c r="I32" s="19">
        <v>46145</v>
      </c>
      <c r="J32" s="22">
        <f t="shared" si="0"/>
        <v>556.03</v>
      </c>
      <c r="K32" s="22">
        <v>556.03</v>
      </c>
      <c r="L32" s="43">
        <f t="shared" si="1"/>
        <v>0</v>
      </c>
      <c r="M32" s="25"/>
      <c r="N32" s="31"/>
    </row>
    <row r="33" spans="2:14">
      <c r="B33" s="19">
        <v>46145</v>
      </c>
      <c r="C33" s="20" t="s">
        <v>15</v>
      </c>
      <c r="D33" s="21" t="s">
        <v>820</v>
      </c>
      <c r="E33" s="22">
        <v>315.87</v>
      </c>
      <c r="F33" s="21" t="s">
        <v>17</v>
      </c>
      <c r="G33" s="28" t="s">
        <v>18</v>
      </c>
      <c r="H33" s="21" t="s">
        <v>821</v>
      </c>
      <c r="I33" s="19">
        <v>46145</v>
      </c>
      <c r="J33" s="22">
        <f t="shared" si="0"/>
        <v>315.87</v>
      </c>
      <c r="K33" s="22">
        <v>315.87</v>
      </c>
      <c r="L33" s="43">
        <f t="shared" si="1"/>
        <v>0</v>
      </c>
      <c r="M33" s="25"/>
      <c r="N33" s="26"/>
    </row>
    <row r="34" spans="2:14">
      <c r="B34" s="19">
        <v>46145</v>
      </c>
      <c r="C34" s="20" t="s">
        <v>15</v>
      </c>
      <c r="D34" s="21" t="s">
        <v>822</v>
      </c>
      <c r="E34" s="22">
        <v>850.1</v>
      </c>
      <c r="F34" s="21" t="s">
        <v>29</v>
      </c>
      <c r="G34" s="23"/>
      <c r="H34" s="21" t="s">
        <v>823</v>
      </c>
      <c r="I34" s="19">
        <v>46145</v>
      </c>
      <c r="J34" s="22">
        <f t="shared" si="0"/>
        <v>850.1</v>
      </c>
      <c r="K34" s="22">
        <v>850.1</v>
      </c>
      <c r="L34" s="43">
        <f t="shared" si="1"/>
        <v>0</v>
      </c>
      <c r="M34" s="25"/>
      <c r="N34" s="26"/>
    </row>
    <row r="35" spans="2:14">
      <c r="B35" s="19">
        <v>46145</v>
      </c>
      <c r="C35" s="20" t="s">
        <v>15</v>
      </c>
      <c r="D35" s="21" t="s">
        <v>824</v>
      </c>
      <c r="E35" s="22">
        <v>842.53</v>
      </c>
      <c r="F35" s="21" t="s">
        <v>17</v>
      </c>
      <c r="G35" s="21" t="s">
        <v>21</v>
      </c>
      <c r="H35" s="21" t="s">
        <v>825</v>
      </c>
      <c r="I35" s="19">
        <v>46145</v>
      </c>
      <c r="J35" s="22">
        <f t="shared" si="0"/>
        <v>842.53</v>
      </c>
      <c r="K35" s="22">
        <v>842.53</v>
      </c>
      <c r="L35" s="43">
        <f t="shared" si="1"/>
        <v>0</v>
      </c>
      <c r="M35" s="25"/>
      <c r="N35" s="26"/>
    </row>
    <row r="36" spans="2:14">
      <c r="B36" s="72">
        <v>46145</v>
      </c>
      <c r="C36" s="73" t="s">
        <v>15</v>
      </c>
      <c r="D36" s="74" t="s">
        <v>826</v>
      </c>
      <c r="E36" s="75">
        <v>143.17</v>
      </c>
      <c r="F36" s="74" t="s">
        <v>17</v>
      </c>
      <c r="G36" s="76" t="s">
        <v>79</v>
      </c>
      <c r="H36" s="74" t="s">
        <v>827</v>
      </c>
      <c r="I36" s="72">
        <v>46145</v>
      </c>
      <c r="J36" s="75">
        <f t="shared" si="0"/>
        <v>143.17</v>
      </c>
      <c r="K36" s="75">
        <v>143.17</v>
      </c>
      <c r="L36" s="43">
        <f t="shared" si="1"/>
        <v>0</v>
      </c>
      <c r="M36" s="25"/>
      <c r="N36" s="70" t="s">
        <v>23</v>
      </c>
    </row>
    <row r="37" spans="2:14">
      <c r="B37" s="19">
        <v>46145</v>
      </c>
      <c r="C37" s="20" t="s">
        <v>15</v>
      </c>
      <c r="D37" s="21" t="s">
        <v>828</v>
      </c>
      <c r="E37" s="22">
        <v>218.28</v>
      </c>
      <c r="F37" s="21" t="s">
        <v>29</v>
      </c>
      <c r="G37" s="23"/>
      <c r="H37" s="21" t="s">
        <v>829</v>
      </c>
      <c r="I37" s="19">
        <v>46145</v>
      </c>
      <c r="J37" s="22">
        <f t="shared" si="0"/>
        <v>218.28</v>
      </c>
      <c r="K37" s="22">
        <v>218.28</v>
      </c>
      <c r="L37" s="43">
        <f t="shared" si="1"/>
        <v>0</v>
      </c>
      <c r="M37" s="25"/>
      <c r="N37" s="26"/>
    </row>
    <row r="38" spans="2:14">
      <c r="B38" s="19">
        <v>46145</v>
      </c>
      <c r="C38" s="20" t="s">
        <v>15</v>
      </c>
      <c r="D38" s="21" t="s">
        <v>830</v>
      </c>
      <c r="E38" s="22">
        <v>202.99</v>
      </c>
      <c r="F38" s="21" t="s">
        <v>17</v>
      </c>
      <c r="G38" s="21" t="s">
        <v>21</v>
      </c>
      <c r="H38" s="21" t="s">
        <v>831</v>
      </c>
      <c r="I38" s="19">
        <v>46145</v>
      </c>
      <c r="J38" s="22">
        <f t="shared" si="0"/>
        <v>202.99</v>
      </c>
      <c r="K38" s="22">
        <v>202.99</v>
      </c>
      <c r="L38" s="43">
        <f t="shared" si="1"/>
        <v>0</v>
      </c>
      <c r="M38" s="25"/>
      <c r="N38" s="31"/>
    </row>
    <row r="39" spans="2:14">
      <c r="B39" s="19">
        <v>46145</v>
      </c>
      <c r="C39" s="20" t="s">
        <v>15</v>
      </c>
      <c r="D39" s="21" t="s">
        <v>832</v>
      </c>
      <c r="E39" s="22">
        <v>425.71</v>
      </c>
      <c r="F39" s="21" t="s">
        <v>17</v>
      </c>
      <c r="G39" s="28" t="s">
        <v>79</v>
      </c>
      <c r="H39" s="21" t="s">
        <v>833</v>
      </c>
      <c r="I39" s="19">
        <v>46145</v>
      </c>
      <c r="J39" s="22">
        <f t="shared" si="0"/>
        <v>425.71</v>
      </c>
      <c r="K39" s="22">
        <v>425.71</v>
      </c>
      <c r="L39" s="43">
        <f t="shared" si="1"/>
        <v>0</v>
      </c>
      <c r="M39" s="25"/>
      <c r="N39" s="26"/>
    </row>
    <row r="40" spans="2:14">
      <c r="B40" s="97">
        <v>46145</v>
      </c>
      <c r="C40" s="98" t="s">
        <v>15</v>
      </c>
      <c r="D40" s="99" t="s">
        <v>834</v>
      </c>
      <c r="E40" s="100">
        <v>1129.64</v>
      </c>
      <c r="F40" s="99" t="s">
        <v>29</v>
      </c>
      <c r="G40" s="102"/>
      <c r="H40" s="99" t="s">
        <v>829</v>
      </c>
      <c r="I40" s="97">
        <v>46145</v>
      </c>
      <c r="J40" s="100">
        <f t="shared" si="0"/>
        <v>1129.64</v>
      </c>
      <c r="K40" s="100">
        <v>541.27</v>
      </c>
      <c r="L40" s="43">
        <f t="shared" si="1"/>
        <v>588.37</v>
      </c>
      <c r="M40" s="25"/>
      <c r="N40" s="70" t="s">
        <v>56</v>
      </c>
    </row>
    <row r="41" spans="2:14">
      <c r="B41" s="97"/>
      <c r="C41" s="98"/>
      <c r="D41" s="99"/>
      <c r="E41" s="100"/>
      <c r="F41" s="99"/>
      <c r="G41" s="102"/>
      <c r="H41" s="99" t="s">
        <v>835</v>
      </c>
      <c r="I41" s="97">
        <v>46145</v>
      </c>
      <c r="J41" s="100">
        <f t="shared" si="0"/>
        <v>0</v>
      </c>
      <c r="K41" s="100">
        <v>588.37</v>
      </c>
      <c r="L41" s="43">
        <f t="shared" si="1"/>
        <v>-588.37</v>
      </c>
      <c r="M41" s="25"/>
      <c r="N41" s="31"/>
    </row>
    <row r="42" spans="2:14">
      <c r="B42" s="97">
        <v>46145</v>
      </c>
      <c r="C42" s="98" t="s">
        <v>15</v>
      </c>
      <c r="D42" s="99" t="s">
        <v>836</v>
      </c>
      <c r="E42" s="100">
        <v>602.85</v>
      </c>
      <c r="F42" s="99" t="s">
        <v>17</v>
      </c>
      <c r="G42" s="99" t="s">
        <v>21</v>
      </c>
      <c r="H42" s="99" t="s">
        <v>837</v>
      </c>
      <c r="I42" s="97">
        <v>46145</v>
      </c>
      <c r="J42" s="100">
        <f t="shared" si="0"/>
        <v>602.85</v>
      </c>
      <c r="K42" s="100">
        <v>602.85</v>
      </c>
      <c r="L42" s="43">
        <f t="shared" si="1"/>
        <v>0</v>
      </c>
      <c r="M42" s="25"/>
      <c r="N42" s="70" t="s">
        <v>56</v>
      </c>
    </row>
    <row r="43" spans="2:14">
      <c r="B43" s="19">
        <v>46176</v>
      </c>
      <c r="C43" s="20" t="s">
        <v>15</v>
      </c>
      <c r="D43" s="21" t="s">
        <v>838</v>
      </c>
      <c r="E43" s="22">
        <v>444.34</v>
      </c>
      <c r="F43" s="21" t="s">
        <v>17</v>
      </c>
      <c r="G43" s="21" t="s">
        <v>21</v>
      </c>
      <c r="H43" s="21" t="s">
        <v>839</v>
      </c>
      <c r="I43" s="19">
        <v>46176</v>
      </c>
      <c r="J43" s="22">
        <f t="shared" si="0"/>
        <v>444.34</v>
      </c>
      <c r="K43" s="22">
        <v>444.34</v>
      </c>
      <c r="L43" s="43">
        <f t="shared" si="1"/>
        <v>0</v>
      </c>
      <c r="M43" s="25"/>
      <c r="N43" s="26"/>
    </row>
    <row r="44" spans="2:14">
      <c r="B44" s="72">
        <v>46176</v>
      </c>
      <c r="C44" s="73" t="s">
        <v>15</v>
      </c>
      <c r="D44" s="74" t="s">
        <v>840</v>
      </c>
      <c r="E44" s="75">
        <v>417.38</v>
      </c>
      <c r="F44" s="74" t="s">
        <v>17</v>
      </c>
      <c r="G44" s="76" t="s">
        <v>79</v>
      </c>
      <c r="H44" s="74" t="s">
        <v>841</v>
      </c>
      <c r="I44" s="72">
        <v>46176</v>
      </c>
      <c r="J44" s="75">
        <f t="shared" si="0"/>
        <v>417.38</v>
      </c>
      <c r="K44" s="75">
        <v>417.38</v>
      </c>
      <c r="L44" s="43">
        <f t="shared" si="1"/>
        <v>0</v>
      </c>
      <c r="M44" s="25"/>
      <c r="N44" s="70" t="s">
        <v>33</v>
      </c>
    </row>
    <row r="45" spans="2:14">
      <c r="B45" s="19">
        <v>46176</v>
      </c>
      <c r="C45" s="20" t="s">
        <v>64</v>
      </c>
      <c r="D45" s="21" t="s">
        <v>842</v>
      </c>
      <c r="E45" s="22">
        <v>343.1</v>
      </c>
      <c r="F45" s="21" t="s">
        <v>17</v>
      </c>
      <c r="G45" s="21" t="s">
        <v>21</v>
      </c>
      <c r="H45" s="21" t="s">
        <v>843</v>
      </c>
      <c r="I45" s="19">
        <v>46176</v>
      </c>
      <c r="J45" s="22">
        <f t="shared" si="0"/>
        <v>343.1</v>
      </c>
      <c r="K45" s="22">
        <v>343.1</v>
      </c>
      <c r="L45" s="43">
        <f t="shared" si="1"/>
        <v>0</v>
      </c>
      <c r="M45" s="25"/>
      <c r="N45" s="26"/>
    </row>
    <row r="46" spans="2:14">
      <c r="B46" s="19">
        <v>46176</v>
      </c>
      <c r="C46" s="20" t="s">
        <v>64</v>
      </c>
      <c r="D46" s="21" t="s">
        <v>844</v>
      </c>
      <c r="E46" s="22">
        <v>11.98</v>
      </c>
      <c r="F46" s="21" t="s">
        <v>29</v>
      </c>
      <c r="G46" s="28"/>
      <c r="H46" s="21" t="s">
        <v>845</v>
      </c>
      <c r="I46" s="19">
        <v>46176</v>
      </c>
      <c r="J46" s="22">
        <f t="shared" si="0"/>
        <v>11.98</v>
      </c>
      <c r="K46" s="22">
        <v>11.98</v>
      </c>
      <c r="L46" s="43">
        <f t="shared" si="1"/>
        <v>0</v>
      </c>
      <c r="M46" s="25"/>
      <c r="N46" s="26"/>
    </row>
    <row r="47" spans="2:14">
      <c r="B47" s="97">
        <v>46176</v>
      </c>
      <c r="C47" s="98" t="s">
        <v>15</v>
      </c>
      <c r="D47" s="99" t="s">
        <v>846</v>
      </c>
      <c r="E47" s="100">
        <v>529.02</v>
      </c>
      <c r="F47" s="99" t="s">
        <v>17</v>
      </c>
      <c r="G47" s="99" t="s">
        <v>21</v>
      </c>
      <c r="H47" s="99" t="s">
        <v>847</v>
      </c>
      <c r="I47" s="97">
        <v>46176</v>
      </c>
      <c r="J47" s="100">
        <f t="shared" si="0"/>
        <v>529.02</v>
      </c>
      <c r="K47" s="100">
        <v>529.02</v>
      </c>
      <c r="L47" s="43">
        <f t="shared" si="1"/>
        <v>0</v>
      </c>
      <c r="M47" s="25"/>
      <c r="N47" s="70" t="s">
        <v>56</v>
      </c>
    </row>
    <row r="48" spans="2:14">
      <c r="B48" s="97">
        <v>46176</v>
      </c>
      <c r="C48" s="98" t="s">
        <v>15</v>
      </c>
      <c r="D48" s="99" t="s">
        <v>848</v>
      </c>
      <c r="E48" s="100">
        <v>3014.27</v>
      </c>
      <c r="F48" s="99" t="s">
        <v>17</v>
      </c>
      <c r="G48" s="99" t="s">
        <v>21</v>
      </c>
      <c r="H48" s="99" t="s">
        <v>849</v>
      </c>
      <c r="I48" s="97">
        <v>46176</v>
      </c>
      <c r="J48" s="100">
        <f t="shared" si="0"/>
        <v>3014.27</v>
      </c>
      <c r="K48" s="100">
        <v>3014.27</v>
      </c>
      <c r="L48" s="43">
        <f t="shared" si="1"/>
        <v>0</v>
      </c>
      <c r="M48" s="25"/>
      <c r="N48" s="70" t="s">
        <v>56</v>
      </c>
    </row>
    <row r="49" spans="2:14">
      <c r="B49" s="97"/>
      <c r="C49" s="98"/>
      <c r="D49" s="99"/>
      <c r="E49" s="100"/>
      <c r="F49" s="99" t="s">
        <v>71</v>
      </c>
      <c r="G49" s="102"/>
      <c r="H49" s="99"/>
      <c r="I49" s="97">
        <v>46176</v>
      </c>
      <c r="J49" s="100">
        <f t="shared" si="0"/>
        <v>0</v>
      </c>
      <c r="K49" s="100"/>
      <c r="L49" s="43">
        <f t="shared" si="1"/>
        <v>0</v>
      </c>
      <c r="M49" s="25"/>
      <c r="N49" s="24"/>
    </row>
    <row r="50" spans="2:14">
      <c r="B50" s="97">
        <v>46176</v>
      </c>
      <c r="C50" s="98" t="s">
        <v>15</v>
      </c>
      <c r="D50" s="99" t="s">
        <v>850</v>
      </c>
      <c r="E50" s="100">
        <v>425.71</v>
      </c>
      <c r="F50" s="99" t="s">
        <v>17</v>
      </c>
      <c r="G50" s="99" t="s">
        <v>21</v>
      </c>
      <c r="H50" s="99" t="s">
        <v>851</v>
      </c>
      <c r="I50" s="97">
        <v>46176</v>
      </c>
      <c r="J50" s="100">
        <f t="shared" si="0"/>
        <v>425.71</v>
      </c>
      <c r="K50" s="100">
        <v>425.71</v>
      </c>
      <c r="L50" s="43">
        <f t="shared" si="1"/>
        <v>0</v>
      </c>
      <c r="M50" s="25"/>
      <c r="N50" s="70" t="s">
        <v>56</v>
      </c>
    </row>
    <row r="51" spans="2:14">
      <c r="B51" s="72">
        <v>46206</v>
      </c>
      <c r="C51" s="73" t="s">
        <v>15</v>
      </c>
      <c r="D51" s="74" t="s">
        <v>852</v>
      </c>
      <c r="E51" s="75">
        <v>362.99</v>
      </c>
      <c r="F51" s="74" t="s">
        <v>17</v>
      </c>
      <c r="G51" s="81"/>
      <c r="H51" s="74" t="s">
        <v>853</v>
      </c>
      <c r="I51" s="72">
        <v>46206</v>
      </c>
      <c r="J51" s="75">
        <f t="shared" si="0"/>
        <v>362.99</v>
      </c>
      <c r="K51" s="75">
        <v>362.99</v>
      </c>
      <c r="L51" s="43">
        <f t="shared" si="1"/>
        <v>0</v>
      </c>
      <c r="M51" s="25"/>
      <c r="N51" s="70" t="s">
        <v>23</v>
      </c>
    </row>
    <row r="52" spans="2:14">
      <c r="B52" s="72">
        <v>46206</v>
      </c>
      <c r="C52" s="73" t="s">
        <v>15</v>
      </c>
      <c r="D52" s="74" t="s">
        <v>854</v>
      </c>
      <c r="E52" s="75">
        <v>188.11</v>
      </c>
      <c r="F52" s="87" t="s">
        <v>17</v>
      </c>
      <c r="G52" s="81"/>
      <c r="H52" s="74" t="s">
        <v>855</v>
      </c>
      <c r="I52" s="72">
        <v>46206</v>
      </c>
      <c r="J52" s="75">
        <f t="shared" si="0"/>
        <v>188.11</v>
      </c>
      <c r="K52" s="75">
        <v>188.11</v>
      </c>
      <c r="L52" s="43">
        <f t="shared" si="1"/>
        <v>0</v>
      </c>
      <c r="M52" s="25"/>
      <c r="N52" s="70" t="s">
        <v>33</v>
      </c>
    </row>
    <row r="53" spans="2:14">
      <c r="B53" s="72">
        <v>46206</v>
      </c>
      <c r="C53" s="73" t="s">
        <v>15</v>
      </c>
      <c r="D53" s="74" t="s">
        <v>856</v>
      </c>
      <c r="E53" s="75">
        <v>406.97</v>
      </c>
      <c r="F53" s="74" t="s">
        <v>29</v>
      </c>
      <c r="G53" s="74"/>
      <c r="H53" s="74" t="s">
        <v>857</v>
      </c>
      <c r="I53" s="72">
        <v>46206</v>
      </c>
      <c r="J53" s="75">
        <f t="shared" si="0"/>
        <v>406.97</v>
      </c>
      <c r="K53" s="75">
        <v>406.97</v>
      </c>
      <c r="L53" s="43">
        <f t="shared" si="1"/>
        <v>0</v>
      </c>
      <c r="M53" s="25"/>
      <c r="N53" s="70" t="s">
        <v>23</v>
      </c>
    </row>
    <row r="54" spans="2:14">
      <c r="B54" s="72">
        <v>46268</v>
      </c>
      <c r="C54" s="73" t="s">
        <v>15</v>
      </c>
      <c r="D54" s="74" t="s">
        <v>858</v>
      </c>
      <c r="E54" s="75">
        <v>78.03</v>
      </c>
      <c r="F54" s="74" t="s">
        <v>17</v>
      </c>
      <c r="G54" s="74" t="s">
        <v>21</v>
      </c>
      <c r="H54" s="74" t="s">
        <v>859</v>
      </c>
      <c r="I54" s="72">
        <v>46268</v>
      </c>
      <c r="J54" s="75">
        <f t="shared" si="0"/>
        <v>78.03</v>
      </c>
      <c r="K54" s="75">
        <v>78.03</v>
      </c>
      <c r="L54" s="43">
        <f t="shared" si="1"/>
        <v>0</v>
      </c>
      <c r="M54" s="25"/>
      <c r="N54" s="70" t="s">
        <v>224</v>
      </c>
    </row>
    <row r="55" spans="2:14">
      <c r="B55" s="72">
        <v>46268</v>
      </c>
      <c r="C55" s="73" t="s">
        <v>15</v>
      </c>
      <c r="D55" s="74" t="s">
        <v>860</v>
      </c>
      <c r="E55" s="75">
        <v>558.31</v>
      </c>
      <c r="F55" s="74" t="s">
        <v>17</v>
      </c>
      <c r="G55" s="74" t="s">
        <v>21</v>
      </c>
      <c r="H55" s="74" t="s">
        <v>861</v>
      </c>
      <c r="I55" s="72">
        <v>46268</v>
      </c>
      <c r="J55" s="75">
        <f t="shared" si="0"/>
        <v>558.31</v>
      </c>
      <c r="K55" s="75">
        <v>558.31</v>
      </c>
      <c r="L55" s="43">
        <f t="shared" si="1"/>
        <v>0</v>
      </c>
      <c r="M55" s="25"/>
      <c r="N55" s="70" t="s">
        <v>33</v>
      </c>
    </row>
    <row r="56" spans="2:14">
      <c r="B56" s="72">
        <v>46268</v>
      </c>
      <c r="C56" s="73" t="s">
        <v>15</v>
      </c>
      <c r="D56" s="74" t="s">
        <v>862</v>
      </c>
      <c r="E56" s="75">
        <v>73.38</v>
      </c>
      <c r="F56" s="74" t="s">
        <v>17</v>
      </c>
      <c r="G56" s="74" t="s">
        <v>21</v>
      </c>
      <c r="H56" s="74" t="s">
        <v>863</v>
      </c>
      <c r="I56" s="72">
        <v>46268</v>
      </c>
      <c r="J56" s="75">
        <f t="shared" si="0"/>
        <v>73.38</v>
      </c>
      <c r="K56" s="75">
        <v>73.38</v>
      </c>
      <c r="L56" s="43">
        <f t="shared" si="1"/>
        <v>0</v>
      </c>
      <c r="M56" s="25"/>
      <c r="N56" s="70" t="s">
        <v>211</v>
      </c>
    </row>
    <row r="57" spans="2:14">
      <c r="B57" s="72">
        <v>46268</v>
      </c>
      <c r="C57" s="73" t="s">
        <v>15</v>
      </c>
      <c r="D57" s="74" t="s">
        <v>864</v>
      </c>
      <c r="E57" s="75">
        <v>1231.34</v>
      </c>
      <c r="F57" s="74" t="s">
        <v>29</v>
      </c>
      <c r="G57" s="81"/>
      <c r="H57" s="74" t="s">
        <v>865</v>
      </c>
      <c r="I57" s="72">
        <v>46268</v>
      </c>
      <c r="J57" s="75">
        <f t="shared" si="0"/>
        <v>1231.34</v>
      </c>
      <c r="K57" s="75">
        <v>1231.34</v>
      </c>
      <c r="L57" s="43">
        <f t="shared" si="1"/>
        <v>0</v>
      </c>
      <c r="M57" s="25"/>
      <c r="N57" s="70" t="s">
        <v>60</v>
      </c>
    </row>
    <row r="58" spans="2:14">
      <c r="B58" s="72">
        <v>46268</v>
      </c>
      <c r="C58" s="73" t="s">
        <v>15</v>
      </c>
      <c r="D58" s="74" t="s">
        <v>866</v>
      </c>
      <c r="E58" s="75">
        <v>156.14</v>
      </c>
      <c r="F58" s="74" t="s">
        <v>17</v>
      </c>
      <c r="G58" s="76" t="s">
        <v>21</v>
      </c>
      <c r="H58" s="74" t="s">
        <v>867</v>
      </c>
      <c r="I58" s="72">
        <v>46268</v>
      </c>
      <c r="J58" s="75">
        <f t="shared" si="0"/>
        <v>156.14</v>
      </c>
      <c r="K58" s="75">
        <v>156.14</v>
      </c>
      <c r="L58" s="43">
        <f t="shared" si="1"/>
        <v>0</v>
      </c>
      <c r="M58" s="25"/>
      <c r="N58" s="70" t="s">
        <v>23</v>
      </c>
    </row>
    <row r="59" spans="2:14">
      <c r="B59" s="19">
        <v>46268</v>
      </c>
      <c r="C59" s="20" t="s">
        <v>15</v>
      </c>
      <c r="D59" s="21" t="s">
        <v>868</v>
      </c>
      <c r="E59" s="22">
        <v>101.49</v>
      </c>
      <c r="F59" s="21" t="s">
        <v>29</v>
      </c>
      <c r="G59" s="21"/>
      <c r="H59" s="21" t="s">
        <v>869</v>
      </c>
      <c r="I59" s="19">
        <v>46268</v>
      </c>
      <c r="J59" s="22">
        <f t="shared" si="0"/>
        <v>101.49</v>
      </c>
      <c r="K59" s="22">
        <v>101.49</v>
      </c>
      <c r="L59" s="43">
        <f t="shared" si="1"/>
        <v>0</v>
      </c>
      <c r="M59" s="25"/>
      <c r="N59" s="31"/>
    </row>
    <row r="60" spans="2:14">
      <c r="B60" s="19">
        <v>46268</v>
      </c>
      <c r="C60" s="20" t="s">
        <v>15</v>
      </c>
      <c r="D60" s="21" t="s">
        <v>870</v>
      </c>
      <c r="E60" s="22">
        <v>539.2</v>
      </c>
      <c r="F60" s="21" t="s">
        <v>17</v>
      </c>
      <c r="G60" s="23" t="s">
        <v>21</v>
      </c>
      <c r="H60" s="21" t="s">
        <v>871</v>
      </c>
      <c r="I60" s="19">
        <v>46268</v>
      </c>
      <c r="J60" s="22">
        <f t="shared" si="0"/>
        <v>539.2</v>
      </c>
      <c r="K60" s="22">
        <v>33.68</v>
      </c>
      <c r="L60" s="43">
        <f t="shared" si="1"/>
        <v>505.52</v>
      </c>
      <c r="M60" s="25"/>
      <c r="N60" s="31"/>
    </row>
    <row r="61" spans="2:14">
      <c r="B61" s="19"/>
      <c r="C61" s="20"/>
      <c r="D61" s="21"/>
      <c r="E61" s="22"/>
      <c r="F61" s="21" t="s">
        <v>767</v>
      </c>
      <c r="G61" s="23"/>
      <c r="H61" s="21"/>
      <c r="I61" s="19"/>
      <c r="J61" s="22">
        <f t="shared" si="0"/>
        <v>0</v>
      </c>
      <c r="K61" s="22">
        <v>505.52</v>
      </c>
      <c r="L61" s="43">
        <f t="shared" si="1"/>
        <v>-505.52</v>
      </c>
      <c r="M61" s="25"/>
      <c r="N61" s="26"/>
    </row>
    <row r="62" spans="2:14">
      <c r="B62" s="19">
        <v>46268</v>
      </c>
      <c r="C62" s="20" t="s">
        <v>15</v>
      </c>
      <c r="D62" s="21" t="s">
        <v>872</v>
      </c>
      <c r="E62" s="22">
        <v>183.51</v>
      </c>
      <c r="F62" s="21" t="s">
        <v>17</v>
      </c>
      <c r="G62" s="23" t="s">
        <v>18</v>
      </c>
      <c r="H62" s="21" t="s">
        <v>873</v>
      </c>
      <c r="I62" s="19">
        <v>46268</v>
      </c>
      <c r="J62" s="22">
        <f t="shared" si="0"/>
        <v>183.51</v>
      </c>
      <c r="K62" s="22">
        <v>183.51</v>
      </c>
      <c r="L62" s="43">
        <f t="shared" si="1"/>
        <v>0</v>
      </c>
      <c r="M62" s="25"/>
      <c r="N62" s="26"/>
    </row>
    <row r="63" spans="2:14">
      <c r="B63" s="19">
        <v>46268</v>
      </c>
      <c r="C63" s="20" t="s">
        <v>64</v>
      </c>
      <c r="D63" s="21" t="s">
        <v>874</v>
      </c>
      <c r="E63" s="22">
        <v>112</v>
      </c>
      <c r="F63" s="21" t="s">
        <v>29</v>
      </c>
      <c r="G63" s="21"/>
      <c r="H63" s="21" t="s">
        <v>875</v>
      </c>
      <c r="I63" s="19">
        <v>46268</v>
      </c>
      <c r="J63" s="22">
        <f t="shared" si="0"/>
        <v>112</v>
      </c>
      <c r="K63" s="22">
        <v>112</v>
      </c>
      <c r="L63" s="43">
        <f t="shared" si="1"/>
        <v>0</v>
      </c>
      <c r="M63" s="25"/>
      <c r="N63" s="24"/>
    </row>
    <row r="64" spans="2:14">
      <c r="B64" s="64">
        <v>46268</v>
      </c>
      <c r="C64" s="65" t="s">
        <v>15</v>
      </c>
      <c r="D64" s="66" t="s">
        <v>876</v>
      </c>
      <c r="E64" s="67">
        <v>150.27</v>
      </c>
      <c r="F64" s="66" t="s">
        <v>17</v>
      </c>
      <c r="G64" s="88" t="s">
        <v>18</v>
      </c>
      <c r="H64" s="66" t="s">
        <v>877</v>
      </c>
      <c r="I64" s="64">
        <v>46268</v>
      </c>
      <c r="J64" s="67">
        <f t="shared" si="0"/>
        <v>150.27</v>
      </c>
      <c r="K64" s="67">
        <v>150.27</v>
      </c>
      <c r="L64" s="43">
        <f t="shared" si="1"/>
        <v>0</v>
      </c>
      <c r="M64" s="25"/>
      <c r="N64" s="70" t="s">
        <v>366</v>
      </c>
    </row>
    <row r="65" spans="2:14">
      <c r="B65" s="19">
        <v>46298</v>
      </c>
      <c r="C65" s="20" t="s">
        <v>15</v>
      </c>
      <c r="D65" s="21" t="s">
        <v>878</v>
      </c>
      <c r="E65" s="22">
        <v>185.34</v>
      </c>
      <c r="F65" s="21" t="s">
        <v>17</v>
      </c>
      <c r="G65" s="23" t="s">
        <v>79</v>
      </c>
      <c r="H65" s="21" t="s">
        <v>879</v>
      </c>
      <c r="I65" s="19">
        <v>46298</v>
      </c>
      <c r="J65" s="22">
        <f t="shared" si="0"/>
        <v>185.34</v>
      </c>
      <c r="K65" s="22">
        <v>185.34</v>
      </c>
      <c r="L65" s="43">
        <f t="shared" si="1"/>
        <v>0</v>
      </c>
      <c r="M65" s="25"/>
      <c r="N65" s="31"/>
    </row>
    <row r="66" spans="2:14">
      <c r="B66" s="19">
        <v>46298</v>
      </c>
      <c r="C66" s="20" t="s">
        <v>15</v>
      </c>
      <c r="D66" s="21" t="s">
        <v>880</v>
      </c>
      <c r="E66" s="22">
        <v>57.39</v>
      </c>
      <c r="F66" s="21" t="s">
        <v>17</v>
      </c>
      <c r="G66" s="23" t="s">
        <v>21</v>
      </c>
      <c r="H66" s="21" t="s">
        <v>881</v>
      </c>
      <c r="I66" s="19">
        <v>46298</v>
      </c>
      <c r="J66" s="22">
        <f t="shared" si="0"/>
        <v>57.39</v>
      </c>
      <c r="K66" s="22">
        <v>57.39</v>
      </c>
      <c r="L66" s="43">
        <f t="shared" si="1"/>
        <v>0</v>
      </c>
      <c r="M66" s="25"/>
      <c r="N66" s="26"/>
    </row>
    <row r="67" spans="2:14">
      <c r="B67" s="19">
        <v>46298</v>
      </c>
      <c r="C67" s="20" t="s">
        <v>15</v>
      </c>
      <c r="D67" s="21" t="s">
        <v>882</v>
      </c>
      <c r="E67" s="22">
        <v>202.99</v>
      </c>
      <c r="F67" s="21" t="s">
        <v>29</v>
      </c>
      <c r="G67" s="23"/>
      <c r="H67" s="21" t="s">
        <v>883</v>
      </c>
      <c r="I67" s="19">
        <v>46298</v>
      </c>
      <c r="J67" s="22">
        <f t="shared" si="0"/>
        <v>202.99</v>
      </c>
      <c r="K67" s="22">
        <v>202.99</v>
      </c>
      <c r="L67" s="43">
        <f t="shared" si="1"/>
        <v>0</v>
      </c>
      <c r="M67" s="25"/>
      <c r="N67" s="31"/>
    </row>
    <row r="68" spans="2:14">
      <c r="B68" s="72">
        <v>46298</v>
      </c>
      <c r="C68" s="73" t="s">
        <v>15</v>
      </c>
      <c r="D68" s="74" t="s">
        <v>884</v>
      </c>
      <c r="E68" s="75">
        <v>119.84</v>
      </c>
      <c r="F68" s="74" t="s">
        <v>29</v>
      </c>
      <c r="G68" s="81"/>
      <c r="H68" s="74" t="s">
        <v>885</v>
      </c>
      <c r="I68" s="72">
        <v>46298</v>
      </c>
      <c r="J68" s="75">
        <f t="shared" si="0"/>
        <v>119.84</v>
      </c>
      <c r="K68" s="75">
        <v>119.84</v>
      </c>
      <c r="L68" s="43">
        <f t="shared" si="1"/>
        <v>0</v>
      </c>
      <c r="M68" s="25"/>
      <c r="N68" s="70" t="s">
        <v>60</v>
      </c>
    </row>
    <row r="69" spans="2:14">
      <c r="B69" s="72">
        <v>46298</v>
      </c>
      <c r="C69" s="73" t="s">
        <v>15</v>
      </c>
      <c r="D69" s="74" t="s">
        <v>886</v>
      </c>
      <c r="E69" s="75">
        <v>233.45</v>
      </c>
      <c r="F69" s="74" t="s">
        <v>29</v>
      </c>
      <c r="G69" s="74"/>
      <c r="H69" s="74" t="s">
        <v>887</v>
      </c>
      <c r="I69" s="72">
        <v>46298</v>
      </c>
      <c r="J69" s="75">
        <f t="shared" si="0"/>
        <v>233.45</v>
      </c>
      <c r="K69" s="75">
        <v>233.45</v>
      </c>
      <c r="L69" s="43">
        <f t="shared" si="1"/>
        <v>0</v>
      </c>
      <c r="M69" s="25"/>
      <c r="N69" s="70" t="s">
        <v>33</v>
      </c>
    </row>
    <row r="70" spans="2:14">
      <c r="B70" s="19">
        <v>46298</v>
      </c>
      <c r="C70" s="20" t="s">
        <v>15</v>
      </c>
      <c r="D70" s="21" t="s">
        <v>888</v>
      </c>
      <c r="E70" s="22">
        <v>56.35</v>
      </c>
      <c r="F70" s="21" t="s">
        <v>29</v>
      </c>
      <c r="G70" s="21"/>
      <c r="H70" s="21" t="s">
        <v>889</v>
      </c>
      <c r="I70" s="19">
        <v>46298</v>
      </c>
      <c r="J70" s="22">
        <f t="shared" si="0"/>
        <v>56.35</v>
      </c>
      <c r="K70" s="22">
        <v>56.35</v>
      </c>
      <c r="L70" s="43">
        <f t="shared" si="1"/>
        <v>0</v>
      </c>
      <c r="M70" s="25"/>
      <c r="N70" s="31"/>
    </row>
    <row r="71" spans="2:14">
      <c r="B71" s="97">
        <v>46298</v>
      </c>
      <c r="C71" s="98" t="s">
        <v>15</v>
      </c>
      <c r="D71" s="99" t="s">
        <v>890</v>
      </c>
      <c r="E71" s="100">
        <v>6724.63</v>
      </c>
      <c r="F71" s="99" t="s">
        <v>17</v>
      </c>
      <c r="G71" s="99" t="s">
        <v>21</v>
      </c>
      <c r="H71" s="99" t="s">
        <v>891</v>
      </c>
      <c r="I71" s="97">
        <v>46298</v>
      </c>
      <c r="J71" s="100">
        <f t="shared" si="0"/>
        <v>6724.63</v>
      </c>
      <c r="K71" s="100">
        <v>6724.63</v>
      </c>
      <c r="L71" s="43">
        <f t="shared" si="1"/>
        <v>0</v>
      </c>
      <c r="M71" s="25"/>
      <c r="N71" s="70" t="s">
        <v>56</v>
      </c>
    </row>
    <row r="72" spans="2:14">
      <c r="B72" s="97">
        <v>46298</v>
      </c>
      <c r="C72" s="98" t="s">
        <v>15</v>
      </c>
      <c r="D72" s="99" t="s">
        <v>892</v>
      </c>
      <c r="E72" s="100">
        <v>3282.24</v>
      </c>
      <c r="F72" s="99" t="s">
        <v>17</v>
      </c>
      <c r="G72" s="99" t="s">
        <v>21</v>
      </c>
      <c r="H72" s="99" t="s">
        <v>893</v>
      </c>
      <c r="I72" s="97">
        <v>46298</v>
      </c>
      <c r="J72" s="100">
        <f>E72</f>
        <v>3282.24</v>
      </c>
      <c r="K72" s="100">
        <v>3282.24</v>
      </c>
      <c r="L72" s="43">
        <f>J72-K72</f>
        <v>0</v>
      </c>
      <c r="M72" s="25"/>
      <c r="N72" s="70" t="s">
        <v>56</v>
      </c>
    </row>
    <row r="73" spans="2:14">
      <c r="B73" s="19">
        <v>46329</v>
      </c>
      <c r="C73" s="20" t="s">
        <v>15</v>
      </c>
      <c r="D73" s="21" t="s">
        <v>894</v>
      </c>
      <c r="E73" s="22">
        <v>289.08</v>
      </c>
      <c r="F73" s="21" t="s">
        <v>29</v>
      </c>
      <c r="G73" s="21"/>
      <c r="H73" s="21" t="s">
        <v>895</v>
      </c>
      <c r="I73" s="19">
        <v>46329</v>
      </c>
      <c r="J73" s="22">
        <f>E73</f>
        <v>289.08</v>
      </c>
      <c r="K73" s="22">
        <v>289.08</v>
      </c>
      <c r="L73" s="43">
        <f>J73-K73</f>
        <v>0</v>
      </c>
      <c r="M73" s="25"/>
      <c r="N73" s="26"/>
    </row>
    <row r="74" spans="2:14">
      <c r="B74" s="19">
        <v>46329</v>
      </c>
      <c r="C74" s="20" t="s">
        <v>15</v>
      </c>
      <c r="D74" s="21" t="s">
        <v>896</v>
      </c>
      <c r="E74" s="22">
        <v>437.63</v>
      </c>
      <c r="F74" s="21" t="s">
        <v>17</v>
      </c>
      <c r="G74" s="21" t="s">
        <v>21</v>
      </c>
      <c r="H74" s="21" t="s">
        <v>897</v>
      </c>
      <c r="I74" s="19">
        <v>46329</v>
      </c>
      <c r="J74" s="22">
        <f>E74</f>
        <v>437.63</v>
      </c>
      <c r="K74" s="22">
        <v>437.63</v>
      </c>
      <c r="L74" s="43">
        <f>J74-K74</f>
        <v>0</v>
      </c>
      <c r="M74" s="25"/>
      <c r="N74" s="26"/>
    </row>
    <row r="75" spans="2:14">
      <c r="B75" s="19">
        <v>46329</v>
      </c>
      <c r="C75" s="20" t="s">
        <v>15</v>
      </c>
      <c r="D75" s="21" t="s">
        <v>898</v>
      </c>
      <c r="E75" s="22">
        <v>35.28</v>
      </c>
      <c r="F75" s="21" t="s">
        <v>17</v>
      </c>
      <c r="G75" s="21" t="s">
        <v>21</v>
      </c>
      <c r="H75" s="21" t="s">
        <v>899</v>
      </c>
      <c r="I75" s="19">
        <v>46329</v>
      </c>
      <c r="J75" s="22">
        <f t="shared" ref="J75:J130" si="2">E75</f>
        <v>35.28</v>
      </c>
      <c r="K75" s="22">
        <v>35.28</v>
      </c>
      <c r="L75" s="43">
        <f t="shared" ref="L75:L130" si="3">J75-K75</f>
        <v>0</v>
      </c>
      <c r="M75" s="25"/>
      <c r="N75" s="31"/>
    </row>
    <row r="76" spans="2:14">
      <c r="B76" s="72">
        <v>46329</v>
      </c>
      <c r="C76" s="73" t="s">
        <v>15</v>
      </c>
      <c r="D76" s="74" t="s">
        <v>900</v>
      </c>
      <c r="E76" s="75">
        <v>441.08</v>
      </c>
      <c r="F76" s="74" t="s">
        <v>17</v>
      </c>
      <c r="G76" s="74" t="s">
        <v>21</v>
      </c>
      <c r="H76" s="74" t="s">
        <v>901</v>
      </c>
      <c r="I76" s="72">
        <v>46329</v>
      </c>
      <c r="J76" s="75">
        <f t="shared" si="2"/>
        <v>441.08</v>
      </c>
      <c r="K76" s="75">
        <v>441.08</v>
      </c>
      <c r="L76" s="43">
        <f t="shared" si="3"/>
        <v>0</v>
      </c>
      <c r="M76" s="25"/>
      <c r="N76" s="70" t="s">
        <v>23</v>
      </c>
    </row>
    <row r="77" spans="2:14">
      <c r="B77" s="72">
        <v>46329</v>
      </c>
      <c r="C77" s="73" t="s">
        <v>15</v>
      </c>
      <c r="D77" s="74" t="s">
        <v>902</v>
      </c>
      <c r="E77" s="75">
        <v>817.7</v>
      </c>
      <c r="F77" s="74" t="s">
        <v>29</v>
      </c>
      <c r="G77" s="74"/>
      <c r="H77" s="74" t="s">
        <v>903</v>
      </c>
      <c r="I77" s="72">
        <v>46329</v>
      </c>
      <c r="J77" s="75">
        <f t="shared" si="2"/>
        <v>817.7</v>
      </c>
      <c r="K77" s="75">
        <v>817.7</v>
      </c>
      <c r="L77" s="43">
        <f t="shared" si="3"/>
        <v>0</v>
      </c>
      <c r="M77" s="25"/>
      <c r="N77" s="70" t="s">
        <v>23</v>
      </c>
    </row>
    <row r="78" spans="2:14">
      <c r="B78" s="19">
        <v>46329</v>
      </c>
      <c r="C78" s="20" t="s">
        <v>15</v>
      </c>
      <c r="D78" s="21" t="s">
        <v>904</v>
      </c>
      <c r="E78" s="22">
        <v>108.41</v>
      </c>
      <c r="F78" s="21" t="s">
        <v>17</v>
      </c>
      <c r="G78" s="21" t="s">
        <v>18</v>
      </c>
      <c r="H78" s="21" t="s">
        <v>905</v>
      </c>
      <c r="I78" s="19">
        <v>46329</v>
      </c>
      <c r="J78" s="22">
        <f t="shared" si="2"/>
        <v>108.41</v>
      </c>
      <c r="K78" s="22">
        <v>108.41</v>
      </c>
      <c r="L78" s="43">
        <f t="shared" si="3"/>
        <v>0</v>
      </c>
      <c r="M78" s="25"/>
      <c r="N78" s="26"/>
    </row>
    <row r="79" spans="2:14">
      <c r="B79" s="19">
        <v>46329</v>
      </c>
      <c r="C79" s="20" t="s">
        <v>64</v>
      </c>
      <c r="D79" s="21" t="s">
        <v>906</v>
      </c>
      <c r="E79" s="22">
        <v>73.59</v>
      </c>
      <c r="F79" s="21" t="s">
        <v>29</v>
      </c>
      <c r="G79" s="21"/>
      <c r="H79" s="21" t="s">
        <v>907</v>
      </c>
      <c r="I79" s="19">
        <v>46298</v>
      </c>
      <c r="J79" s="22">
        <f t="shared" si="2"/>
        <v>73.59</v>
      </c>
      <c r="K79" s="22">
        <v>73.59</v>
      </c>
      <c r="L79" s="43">
        <f t="shared" si="3"/>
        <v>0</v>
      </c>
      <c r="M79" s="25"/>
      <c r="N79" s="26"/>
    </row>
    <row r="80" spans="2:14">
      <c r="B80" s="97">
        <v>46329</v>
      </c>
      <c r="C80" s="98" t="s">
        <v>15</v>
      </c>
      <c r="D80" s="99" t="s">
        <v>908</v>
      </c>
      <c r="E80" s="100">
        <v>1058.39</v>
      </c>
      <c r="F80" s="99" t="s">
        <v>17</v>
      </c>
      <c r="G80" s="99" t="s">
        <v>21</v>
      </c>
      <c r="H80" s="99" t="s">
        <v>909</v>
      </c>
      <c r="I80" s="97">
        <v>46329</v>
      </c>
      <c r="J80" s="100">
        <f t="shared" si="2"/>
        <v>1058.39</v>
      </c>
      <c r="K80" s="100">
        <v>1058.39</v>
      </c>
      <c r="L80" s="43">
        <f t="shared" si="3"/>
        <v>0</v>
      </c>
      <c r="M80" s="25"/>
      <c r="N80" s="70" t="s">
        <v>56</v>
      </c>
    </row>
    <row r="81" spans="2:14">
      <c r="B81" s="19">
        <v>46359</v>
      </c>
      <c r="C81" s="20" t="s">
        <v>15</v>
      </c>
      <c r="D81" s="21" t="s">
        <v>910</v>
      </c>
      <c r="E81" s="22">
        <v>199.87</v>
      </c>
      <c r="F81" s="21" t="s">
        <v>17</v>
      </c>
      <c r="G81" s="21" t="s">
        <v>21</v>
      </c>
      <c r="H81" s="21" t="s">
        <v>911</v>
      </c>
      <c r="I81" s="19">
        <v>46359</v>
      </c>
      <c r="J81" s="22">
        <f t="shared" si="2"/>
        <v>199.87</v>
      </c>
      <c r="K81" s="22">
        <v>199.87</v>
      </c>
      <c r="L81" s="43">
        <f t="shared" si="3"/>
        <v>0</v>
      </c>
      <c r="M81" s="25"/>
      <c r="N81" s="26"/>
    </row>
    <row r="82" spans="2:14">
      <c r="B82" s="19">
        <v>46359</v>
      </c>
      <c r="C82" s="20" t="s">
        <v>15</v>
      </c>
      <c r="D82" s="21" t="s">
        <v>912</v>
      </c>
      <c r="E82" s="22">
        <v>651.86</v>
      </c>
      <c r="F82" s="21" t="s">
        <v>17</v>
      </c>
      <c r="G82" s="21" t="s">
        <v>21</v>
      </c>
      <c r="H82" s="21" t="s">
        <v>913</v>
      </c>
      <c r="I82" s="19">
        <v>46359</v>
      </c>
      <c r="J82" s="22">
        <f t="shared" si="2"/>
        <v>651.86</v>
      </c>
      <c r="K82" s="22">
        <v>651.86</v>
      </c>
      <c r="L82" s="43">
        <f t="shared" si="3"/>
        <v>0</v>
      </c>
      <c r="M82" s="25"/>
      <c r="N82" s="26"/>
    </row>
    <row r="83" spans="2:14">
      <c r="B83" s="72">
        <v>46359</v>
      </c>
      <c r="C83" s="73" t="s">
        <v>15</v>
      </c>
      <c r="D83" s="74" t="s">
        <v>914</v>
      </c>
      <c r="E83" s="75">
        <v>768.39</v>
      </c>
      <c r="F83" s="74" t="s">
        <v>17</v>
      </c>
      <c r="G83" s="74" t="s">
        <v>21</v>
      </c>
      <c r="H83" s="74" t="s">
        <v>915</v>
      </c>
      <c r="I83" s="72">
        <v>46359</v>
      </c>
      <c r="J83" s="75">
        <f t="shared" si="2"/>
        <v>768.39</v>
      </c>
      <c r="K83" s="75">
        <v>768.39</v>
      </c>
      <c r="L83" s="43">
        <f t="shared" si="3"/>
        <v>0</v>
      </c>
      <c r="M83" s="25"/>
      <c r="N83" s="70" t="s">
        <v>63</v>
      </c>
    </row>
    <row r="84" spans="2:14">
      <c r="B84" s="72">
        <v>46359</v>
      </c>
      <c r="C84" s="73" t="s">
        <v>15</v>
      </c>
      <c r="D84" s="74" t="s">
        <v>916</v>
      </c>
      <c r="E84" s="75">
        <v>99.29</v>
      </c>
      <c r="F84" s="74" t="s">
        <v>29</v>
      </c>
      <c r="G84" s="74"/>
      <c r="H84" s="74" t="s">
        <v>917</v>
      </c>
      <c r="I84" s="72">
        <v>46359</v>
      </c>
      <c r="J84" s="75">
        <f t="shared" si="2"/>
        <v>99.29</v>
      </c>
      <c r="K84" s="75">
        <v>99.29</v>
      </c>
      <c r="L84" s="43">
        <f t="shared" si="3"/>
        <v>0</v>
      </c>
      <c r="M84" s="25"/>
      <c r="N84" s="70" t="s">
        <v>60</v>
      </c>
    </row>
    <row r="85" spans="2:14">
      <c r="B85" s="72" t="s">
        <v>918</v>
      </c>
      <c r="C85" s="73" t="s">
        <v>15</v>
      </c>
      <c r="D85" s="74" t="s">
        <v>919</v>
      </c>
      <c r="E85" s="75">
        <v>103.7</v>
      </c>
      <c r="F85" s="74" t="s">
        <v>17</v>
      </c>
      <c r="G85" s="74" t="s">
        <v>21</v>
      </c>
      <c r="H85" s="74" t="s">
        <v>920</v>
      </c>
      <c r="I85" s="72" t="s">
        <v>918</v>
      </c>
      <c r="J85" s="75">
        <f t="shared" si="2"/>
        <v>103.7</v>
      </c>
      <c r="K85" s="75">
        <v>103.7</v>
      </c>
      <c r="L85" s="43">
        <f t="shared" si="3"/>
        <v>0</v>
      </c>
      <c r="M85" s="25"/>
      <c r="N85" s="70" t="s">
        <v>211</v>
      </c>
    </row>
    <row r="86" spans="2:14">
      <c r="B86" s="19" t="s">
        <v>918</v>
      </c>
      <c r="C86" s="20" t="s">
        <v>15</v>
      </c>
      <c r="D86" s="21" t="s">
        <v>921</v>
      </c>
      <c r="E86" s="22">
        <v>937.96</v>
      </c>
      <c r="F86" s="21" t="s">
        <v>17</v>
      </c>
      <c r="G86" s="21" t="s">
        <v>21</v>
      </c>
      <c r="H86" s="104" t="s">
        <v>922</v>
      </c>
      <c r="I86" s="19" t="s">
        <v>918</v>
      </c>
      <c r="J86" s="22">
        <f t="shared" si="2"/>
        <v>937.96</v>
      </c>
      <c r="K86" s="22">
        <v>937.96</v>
      </c>
      <c r="L86" s="43">
        <f t="shared" si="3"/>
        <v>0</v>
      </c>
      <c r="M86" s="25"/>
      <c r="N86" s="26"/>
    </row>
    <row r="87" spans="2:14">
      <c r="B87" s="19" t="s">
        <v>918</v>
      </c>
      <c r="C87" s="20" t="s">
        <v>15</v>
      </c>
      <c r="D87" s="21" t="s">
        <v>923</v>
      </c>
      <c r="E87" s="22">
        <v>454.22</v>
      </c>
      <c r="F87" s="21" t="s">
        <v>17</v>
      </c>
      <c r="G87" s="21" t="s">
        <v>18</v>
      </c>
      <c r="H87" s="21" t="s">
        <v>924</v>
      </c>
      <c r="I87" s="19" t="s">
        <v>918</v>
      </c>
      <c r="J87" s="22">
        <f t="shared" si="2"/>
        <v>454.22</v>
      </c>
      <c r="K87" s="22">
        <v>454.22</v>
      </c>
      <c r="L87" s="43">
        <f t="shared" si="3"/>
        <v>0</v>
      </c>
      <c r="M87" s="25"/>
      <c r="N87" s="26"/>
    </row>
    <row r="88" spans="2:14">
      <c r="B88" s="72" t="s">
        <v>918</v>
      </c>
      <c r="C88" s="73" t="s">
        <v>15</v>
      </c>
      <c r="D88" s="74" t="s">
        <v>925</v>
      </c>
      <c r="E88" s="75">
        <v>1091.1</v>
      </c>
      <c r="F88" s="74" t="s">
        <v>17</v>
      </c>
      <c r="G88" s="74" t="s">
        <v>21</v>
      </c>
      <c r="H88" s="74" t="s">
        <v>926</v>
      </c>
      <c r="I88" s="72" t="s">
        <v>918</v>
      </c>
      <c r="J88" s="75">
        <f t="shared" si="2"/>
        <v>1091.1</v>
      </c>
      <c r="K88" s="75">
        <v>1091.1</v>
      </c>
      <c r="L88" s="43">
        <f t="shared" si="3"/>
        <v>0</v>
      </c>
      <c r="M88" s="25"/>
      <c r="N88" s="70" t="s">
        <v>23</v>
      </c>
    </row>
    <row r="89" spans="2:14">
      <c r="B89" s="72" t="s">
        <v>918</v>
      </c>
      <c r="C89" s="73" t="s">
        <v>15</v>
      </c>
      <c r="D89" s="74" t="s">
        <v>927</v>
      </c>
      <c r="E89" s="75">
        <v>99.29</v>
      </c>
      <c r="F89" s="74" t="s">
        <v>471</v>
      </c>
      <c r="G89" s="74"/>
      <c r="H89" s="74"/>
      <c r="I89" s="72" t="s">
        <v>918</v>
      </c>
      <c r="J89" s="75">
        <f t="shared" si="2"/>
        <v>99.29</v>
      </c>
      <c r="K89" s="75">
        <v>99.29</v>
      </c>
      <c r="L89" s="43">
        <f t="shared" si="3"/>
        <v>0</v>
      </c>
      <c r="M89" s="25"/>
      <c r="N89" s="70" t="s">
        <v>23</v>
      </c>
    </row>
    <row r="90" spans="2:14">
      <c r="B90" s="72" t="s">
        <v>918</v>
      </c>
      <c r="C90" s="73" t="s">
        <v>15</v>
      </c>
      <c r="D90" s="74" t="s">
        <v>928</v>
      </c>
      <c r="E90" s="75">
        <v>99.29</v>
      </c>
      <c r="F90" s="74" t="s">
        <v>471</v>
      </c>
      <c r="G90" s="74"/>
      <c r="H90" s="74"/>
      <c r="I90" s="72" t="s">
        <v>918</v>
      </c>
      <c r="J90" s="75">
        <f t="shared" si="2"/>
        <v>99.29</v>
      </c>
      <c r="K90" s="75">
        <v>99.29</v>
      </c>
      <c r="L90" s="43">
        <f t="shared" si="3"/>
        <v>0</v>
      </c>
      <c r="M90" s="25"/>
      <c r="N90" s="70" t="s">
        <v>23</v>
      </c>
    </row>
    <row r="91" spans="2:14">
      <c r="B91" s="72" t="s">
        <v>918</v>
      </c>
      <c r="C91" s="73" t="s">
        <v>15</v>
      </c>
      <c r="D91" s="74" t="s">
        <v>929</v>
      </c>
      <c r="E91" s="75">
        <v>113.47</v>
      </c>
      <c r="F91" s="74" t="s">
        <v>17</v>
      </c>
      <c r="G91" s="74" t="s">
        <v>21</v>
      </c>
      <c r="H91" s="74" t="s">
        <v>930</v>
      </c>
      <c r="I91" s="72" t="s">
        <v>918</v>
      </c>
      <c r="J91" s="75">
        <f t="shared" si="2"/>
        <v>113.47</v>
      </c>
      <c r="K91" s="75">
        <v>113.47</v>
      </c>
      <c r="L91" s="43">
        <f t="shared" si="3"/>
        <v>0</v>
      </c>
      <c r="M91" s="25"/>
      <c r="N91" s="70" t="s">
        <v>39</v>
      </c>
    </row>
    <row r="92" spans="2:14">
      <c r="B92" s="19" t="s">
        <v>918</v>
      </c>
      <c r="C92" s="20" t="s">
        <v>15</v>
      </c>
      <c r="D92" s="21" t="s">
        <v>931</v>
      </c>
      <c r="E92" s="22">
        <v>940.08</v>
      </c>
      <c r="F92" s="21" t="s">
        <v>17</v>
      </c>
      <c r="G92" s="21" t="s">
        <v>21</v>
      </c>
      <c r="H92" s="21" t="s">
        <v>932</v>
      </c>
      <c r="I92" s="19" t="s">
        <v>918</v>
      </c>
      <c r="J92" s="22">
        <f t="shared" si="2"/>
        <v>940.08</v>
      </c>
      <c r="K92" s="22">
        <v>940.08</v>
      </c>
      <c r="L92" s="43">
        <f t="shared" si="3"/>
        <v>0</v>
      </c>
      <c r="M92" s="25"/>
      <c r="N92" s="26"/>
    </row>
    <row r="93" spans="2:14">
      <c r="B93" s="72" t="s">
        <v>918</v>
      </c>
      <c r="C93" s="73" t="s">
        <v>15</v>
      </c>
      <c r="D93" s="74" t="s">
        <v>933</v>
      </c>
      <c r="E93" s="75">
        <v>99.29</v>
      </c>
      <c r="F93" s="74" t="s">
        <v>29</v>
      </c>
      <c r="G93" s="74"/>
      <c r="H93" s="74" t="s">
        <v>934</v>
      </c>
      <c r="I93" s="72" t="s">
        <v>918</v>
      </c>
      <c r="J93" s="75">
        <f t="shared" si="2"/>
        <v>99.29</v>
      </c>
      <c r="K93" s="75">
        <v>99.29</v>
      </c>
      <c r="L93" s="43">
        <f t="shared" si="3"/>
        <v>0</v>
      </c>
      <c r="M93" s="25"/>
      <c r="N93" s="70" t="s">
        <v>23</v>
      </c>
    </row>
    <row r="94" spans="2:14">
      <c r="B94" s="19" t="s">
        <v>918</v>
      </c>
      <c r="C94" s="20" t="s">
        <v>15</v>
      </c>
      <c r="D94" s="21" t="s">
        <v>935</v>
      </c>
      <c r="E94" s="22">
        <v>199.87</v>
      </c>
      <c r="F94" s="21" t="s">
        <v>17</v>
      </c>
      <c r="G94" s="21" t="s">
        <v>21</v>
      </c>
      <c r="H94" s="21" t="s">
        <v>936</v>
      </c>
      <c r="I94" s="19" t="s">
        <v>918</v>
      </c>
      <c r="J94" s="22">
        <f t="shared" si="2"/>
        <v>199.87</v>
      </c>
      <c r="K94" s="22">
        <v>199.87</v>
      </c>
      <c r="L94" s="43">
        <f t="shared" si="3"/>
        <v>0</v>
      </c>
      <c r="M94" s="25"/>
      <c r="N94" s="26"/>
    </row>
    <row r="95" spans="2:14">
      <c r="B95" s="19" t="s">
        <v>918</v>
      </c>
      <c r="C95" s="20" t="s">
        <v>15</v>
      </c>
      <c r="D95" s="21" t="s">
        <v>937</v>
      </c>
      <c r="E95" s="22">
        <v>102.49</v>
      </c>
      <c r="F95" s="21" t="s">
        <v>17</v>
      </c>
      <c r="G95" s="21" t="s">
        <v>21</v>
      </c>
      <c r="H95" s="21" t="s">
        <v>938</v>
      </c>
      <c r="I95" s="19" t="s">
        <v>918</v>
      </c>
      <c r="J95" s="22">
        <f t="shared" si="2"/>
        <v>102.49</v>
      </c>
      <c r="K95" s="22">
        <v>102.49</v>
      </c>
      <c r="L95" s="43">
        <f t="shared" si="3"/>
        <v>0</v>
      </c>
      <c r="M95" s="25"/>
      <c r="N95" s="26"/>
    </row>
    <row r="96" spans="2:14">
      <c r="B96" s="97" t="s">
        <v>918</v>
      </c>
      <c r="C96" s="98" t="s">
        <v>15</v>
      </c>
      <c r="D96" s="99" t="s">
        <v>939</v>
      </c>
      <c r="E96" s="100">
        <v>996.55</v>
      </c>
      <c r="F96" s="99" t="s">
        <v>17</v>
      </c>
      <c r="G96" s="99" t="s">
        <v>21</v>
      </c>
      <c r="H96" s="99" t="s">
        <v>940</v>
      </c>
      <c r="I96" s="97" t="s">
        <v>918</v>
      </c>
      <c r="J96" s="100">
        <f t="shared" si="2"/>
        <v>996.55</v>
      </c>
      <c r="K96" s="100">
        <v>996.55</v>
      </c>
      <c r="L96" s="43">
        <f t="shared" si="3"/>
        <v>0</v>
      </c>
      <c r="M96" s="25"/>
      <c r="N96" s="70" t="s">
        <v>56</v>
      </c>
    </row>
    <row r="97" spans="2:14">
      <c r="B97" s="72" t="s">
        <v>941</v>
      </c>
      <c r="C97" s="73" t="s">
        <v>15</v>
      </c>
      <c r="D97" s="74" t="s">
        <v>942</v>
      </c>
      <c r="E97" s="75">
        <v>633.27</v>
      </c>
      <c r="F97" s="74" t="s">
        <v>29</v>
      </c>
      <c r="G97" s="74"/>
      <c r="H97" s="74" t="s">
        <v>943</v>
      </c>
      <c r="I97" s="72" t="s">
        <v>941</v>
      </c>
      <c r="J97" s="75">
        <f t="shared" si="2"/>
        <v>633.27</v>
      </c>
      <c r="K97" s="75">
        <v>633.27</v>
      </c>
      <c r="L97" s="43">
        <f t="shared" si="3"/>
        <v>0</v>
      </c>
      <c r="M97" s="25"/>
      <c r="N97" s="70" t="s">
        <v>944</v>
      </c>
    </row>
    <row r="98" spans="2:14">
      <c r="B98" s="19" t="s">
        <v>941</v>
      </c>
      <c r="C98" s="20" t="s">
        <v>15</v>
      </c>
      <c r="D98" s="21" t="s">
        <v>945</v>
      </c>
      <c r="E98" s="22">
        <v>300.1</v>
      </c>
      <c r="F98" s="21" t="s">
        <v>17</v>
      </c>
      <c r="G98" s="21" t="s">
        <v>21</v>
      </c>
      <c r="H98" s="21" t="s">
        <v>946</v>
      </c>
      <c r="I98" s="19" t="s">
        <v>941</v>
      </c>
      <c r="J98" s="22">
        <f t="shared" si="2"/>
        <v>300.1</v>
      </c>
      <c r="K98" s="22">
        <v>300.1</v>
      </c>
      <c r="L98" s="43">
        <f t="shared" si="3"/>
        <v>0</v>
      </c>
      <c r="M98" s="25"/>
      <c r="N98" s="31"/>
    </row>
    <row r="99" spans="2:14">
      <c r="B99" s="19" t="s">
        <v>941</v>
      </c>
      <c r="C99" s="20" t="s">
        <v>15</v>
      </c>
      <c r="D99" s="21" t="s">
        <v>947</v>
      </c>
      <c r="E99" s="22">
        <v>23.96</v>
      </c>
      <c r="F99" s="21" t="s">
        <v>29</v>
      </c>
      <c r="G99" s="21"/>
      <c r="H99" s="21" t="s">
        <v>948</v>
      </c>
      <c r="I99" s="19" t="s">
        <v>941</v>
      </c>
      <c r="J99" s="22">
        <f t="shared" si="2"/>
        <v>23.96</v>
      </c>
      <c r="K99" s="22">
        <v>23.96</v>
      </c>
      <c r="L99" s="43">
        <f t="shared" si="3"/>
        <v>0</v>
      </c>
      <c r="M99" s="25"/>
      <c r="N99" s="26"/>
    </row>
    <row r="100" spans="2:14">
      <c r="B100" s="72" t="s">
        <v>941</v>
      </c>
      <c r="C100" s="73" t="s">
        <v>15</v>
      </c>
      <c r="D100" s="74" t="s">
        <v>949</v>
      </c>
      <c r="E100" s="75">
        <v>561.69</v>
      </c>
      <c r="F100" s="74" t="s">
        <v>17</v>
      </c>
      <c r="G100" s="74" t="s">
        <v>79</v>
      </c>
      <c r="H100" s="74"/>
      <c r="I100" s="72" t="s">
        <v>941</v>
      </c>
      <c r="J100" s="75">
        <f t="shared" si="2"/>
        <v>561.69</v>
      </c>
      <c r="K100" s="75">
        <v>561.69</v>
      </c>
      <c r="L100" s="43">
        <f t="shared" si="3"/>
        <v>0</v>
      </c>
      <c r="M100" s="25"/>
      <c r="N100" s="70" t="s">
        <v>63</v>
      </c>
    </row>
    <row r="101" spans="2:14">
      <c r="B101" s="72" t="s">
        <v>941</v>
      </c>
      <c r="C101" s="73" t="s">
        <v>15</v>
      </c>
      <c r="D101" s="74" t="s">
        <v>950</v>
      </c>
      <c r="E101" s="75">
        <v>274.74</v>
      </c>
      <c r="F101" s="74" t="s">
        <v>17</v>
      </c>
      <c r="G101" s="74" t="s">
        <v>21</v>
      </c>
      <c r="H101" s="74" t="s">
        <v>951</v>
      </c>
      <c r="I101" s="72" t="s">
        <v>941</v>
      </c>
      <c r="J101" s="75">
        <f t="shared" si="2"/>
        <v>274.74</v>
      </c>
      <c r="K101" s="75">
        <v>274.74</v>
      </c>
      <c r="L101" s="43">
        <f t="shared" si="3"/>
        <v>0</v>
      </c>
      <c r="M101" s="25"/>
      <c r="N101" s="70" t="s">
        <v>23</v>
      </c>
    </row>
    <row r="102" spans="2:14">
      <c r="B102" s="19" t="s">
        <v>952</v>
      </c>
      <c r="C102" s="20" t="s">
        <v>15</v>
      </c>
      <c r="D102" s="21" t="s">
        <v>953</v>
      </c>
      <c r="E102" s="22">
        <v>83.1</v>
      </c>
      <c r="F102" s="21" t="s">
        <v>17</v>
      </c>
      <c r="G102" s="21" t="s">
        <v>21</v>
      </c>
      <c r="H102" s="21" t="s">
        <v>954</v>
      </c>
      <c r="I102" s="19" t="s">
        <v>941</v>
      </c>
      <c r="J102" s="22">
        <f t="shared" si="2"/>
        <v>83.1</v>
      </c>
      <c r="K102" s="22">
        <v>83.1</v>
      </c>
      <c r="L102" s="43">
        <f t="shared" si="3"/>
        <v>0</v>
      </c>
      <c r="M102" s="25"/>
      <c r="N102" s="26"/>
    </row>
    <row r="103" spans="2:14">
      <c r="B103" s="72" t="s">
        <v>952</v>
      </c>
      <c r="C103" s="73" t="s">
        <v>15</v>
      </c>
      <c r="D103" s="74" t="s">
        <v>955</v>
      </c>
      <c r="E103" s="75">
        <v>77.16</v>
      </c>
      <c r="F103" s="74" t="s">
        <v>17</v>
      </c>
      <c r="G103" s="74" t="s">
        <v>21</v>
      </c>
      <c r="H103" s="105" t="s">
        <v>956</v>
      </c>
      <c r="I103" s="72" t="s">
        <v>952</v>
      </c>
      <c r="J103" s="75">
        <f t="shared" si="2"/>
        <v>77.16</v>
      </c>
      <c r="K103" s="75">
        <v>77.16</v>
      </c>
      <c r="L103" s="43">
        <f t="shared" si="3"/>
        <v>0</v>
      </c>
      <c r="M103" s="25"/>
      <c r="N103" s="70" t="s">
        <v>63</v>
      </c>
    </row>
    <row r="104" spans="2:14">
      <c r="B104" s="72" t="s">
        <v>952</v>
      </c>
      <c r="C104" s="73" t="s">
        <v>15</v>
      </c>
      <c r="D104" s="74" t="s">
        <v>957</v>
      </c>
      <c r="E104" s="75">
        <v>168.51</v>
      </c>
      <c r="F104" s="74" t="s">
        <v>17</v>
      </c>
      <c r="G104" s="74" t="s">
        <v>21</v>
      </c>
      <c r="H104" s="105" t="s">
        <v>958</v>
      </c>
      <c r="I104" s="72" t="s">
        <v>952</v>
      </c>
      <c r="J104" s="75">
        <f t="shared" si="2"/>
        <v>168.51</v>
      </c>
      <c r="K104" s="75">
        <v>168.51</v>
      </c>
      <c r="L104" s="43">
        <f t="shared" si="3"/>
        <v>0</v>
      </c>
      <c r="M104" s="25"/>
      <c r="N104" s="70" t="s">
        <v>33</v>
      </c>
    </row>
    <row r="105" spans="2:14">
      <c r="B105" s="19" t="s">
        <v>959</v>
      </c>
      <c r="C105" s="20" t="s">
        <v>15</v>
      </c>
      <c r="D105" s="21" t="s">
        <v>960</v>
      </c>
      <c r="E105" s="22">
        <v>983.8</v>
      </c>
      <c r="F105" s="21" t="s">
        <v>17</v>
      </c>
      <c r="G105" s="21" t="s">
        <v>18</v>
      </c>
      <c r="H105" s="21" t="s">
        <v>961</v>
      </c>
      <c r="I105" s="19" t="s">
        <v>959</v>
      </c>
      <c r="J105" s="22">
        <f t="shared" si="2"/>
        <v>983.8</v>
      </c>
      <c r="K105" s="22">
        <v>983.8</v>
      </c>
      <c r="L105" s="43">
        <f t="shared" si="3"/>
        <v>0</v>
      </c>
      <c r="M105" s="25"/>
      <c r="N105" s="31"/>
    </row>
    <row r="106" spans="2:14">
      <c r="B106" s="72" t="s">
        <v>959</v>
      </c>
      <c r="C106" s="73" t="s">
        <v>15</v>
      </c>
      <c r="D106" s="74" t="s">
        <v>962</v>
      </c>
      <c r="E106" s="75">
        <v>28.15</v>
      </c>
      <c r="F106" s="74" t="s">
        <v>29</v>
      </c>
      <c r="G106" s="74"/>
      <c r="H106" s="74" t="s">
        <v>963</v>
      </c>
      <c r="I106" s="72" t="s">
        <v>959</v>
      </c>
      <c r="J106" s="75">
        <f t="shared" si="2"/>
        <v>28.15</v>
      </c>
      <c r="K106" s="75">
        <v>28.15</v>
      </c>
      <c r="L106" s="43">
        <f t="shared" si="3"/>
        <v>0</v>
      </c>
      <c r="M106" s="25"/>
      <c r="N106" s="70" t="s">
        <v>944</v>
      </c>
    </row>
    <row r="107" spans="2:14">
      <c r="B107" s="72" t="s">
        <v>959</v>
      </c>
      <c r="C107" s="73" t="s">
        <v>15</v>
      </c>
      <c r="D107" s="74" t="s">
        <v>964</v>
      </c>
      <c r="E107" s="75">
        <v>139.23</v>
      </c>
      <c r="F107" s="74" t="s">
        <v>29</v>
      </c>
      <c r="G107" s="74"/>
      <c r="H107" s="74" t="s">
        <v>963</v>
      </c>
      <c r="I107" s="72" t="s">
        <v>959</v>
      </c>
      <c r="J107" s="75">
        <f t="shared" si="2"/>
        <v>139.23</v>
      </c>
      <c r="K107" s="75">
        <v>139.23</v>
      </c>
      <c r="L107" s="43">
        <f t="shared" si="3"/>
        <v>0</v>
      </c>
      <c r="M107" s="25"/>
      <c r="N107" s="70" t="s">
        <v>944</v>
      </c>
    </row>
    <row r="108" spans="2:14">
      <c r="B108" s="19" t="s">
        <v>959</v>
      </c>
      <c r="C108" s="20" t="s">
        <v>15</v>
      </c>
      <c r="D108" s="21" t="s">
        <v>965</v>
      </c>
      <c r="E108" s="22">
        <v>684.95</v>
      </c>
      <c r="F108" s="21" t="s">
        <v>29</v>
      </c>
      <c r="G108" s="21"/>
      <c r="H108" s="21" t="s">
        <v>966</v>
      </c>
      <c r="I108" s="19" t="s">
        <v>959</v>
      </c>
      <c r="J108" s="22">
        <f t="shared" si="2"/>
        <v>684.95</v>
      </c>
      <c r="K108" s="22">
        <v>684.95</v>
      </c>
      <c r="L108" s="43">
        <f t="shared" si="3"/>
        <v>0</v>
      </c>
      <c r="M108" s="25"/>
      <c r="N108" s="26"/>
    </row>
    <row r="109" spans="2:14">
      <c r="B109" s="19" t="s">
        <v>959</v>
      </c>
      <c r="C109" s="20" t="s">
        <v>15</v>
      </c>
      <c r="D109" s="21" t="s">
        <v>967</v>
      </c>
      <c r="E109" s="22">
        <v>75.82</v>
      </c>
      <c r="F109" s="21" t="s">
        <v>29</v>
      </c>
      <c r="G109" s="21"/>
      <c r="H109" s="21" t="s">
        <v>968</v>
      </c>
      <c r="I109" s="19" t="s">
        <v>959</v>
      </c>
      <c r="J109" s="22">
        <f t="shared" si="2"/>
        <v>75.82</v>
      </c>
      <c r="K109" s="22">
        <v>75.82</v>
      </c>
      <c r="L109" s="43">
        <f t="shared" si="3"/>
        <v>0</v>
      </c>
      <c r="M109" s="25"/>
      <c r="N109" s="26"/>
    </row>
    <row r="110" spans="2:14">
      <c r="B110" s="19" t="s">
        <v>959</v>
      </c>
      <c r="C110" s="20" t="s">
        <v>15</v>
      </c>
      <c r="D110" s="21" t="s">
        <v>969</v>
      </c>
      <c r="E110" s="22">
        <v>399.74</v>
      </c>
      <c r="F110" s="21" t="s">
        <v>17</v>
      </c>
      <c r="G110" s="21" t="s">
        <v>18</v>
      </c>
      <c r="H110" s="21" t="s">
        <v>970</v>
      </c>
      <c r="I110" s="19" t="s">
        <v>959</v>
      </c>
      <c r="J110" s="22">
        <f t="shared" si="2"/>
        <v>399.74</v>
      </c>
      <c r="K110" s="22">
        <v>399.74</v>
      </c>
      <c r="L110" s="43">
        <f t="shared" si="3"/>
        <v>0</v>
      </c>
      <c r="M110" s="25"/>
      <c r="N110" s="26"/>
    </row>
    <row r="111" spans="2:14">
      <c r="B111" s="19" t="s">
        <v>959</v>
      </c>
      <c r="C111" s="20" t="s">
        <v>15</v>
      </c>
      <c r="D111" s="21" t="s">
        <v>971</v>
      </c>
      <c r="E111" s="22">
        <v>64.12</v>
      </c>
      <c r="F111" s="21" t="s">
        <v>17</v>
      </c>
      <c r="G111" s="21" t="s">
        <v>21</v>
      </c>
      <c r="H111" s="21" t="s">
        <v>972</v>
      </c>
      <c r="I111" s="19" t="s">
        <v>959</v>
      </c>
      <c r="J111" s="22">
        <f t="shared" si="2"/>
        <v>64.12</v>
      </c>
      <c r="K111" s="22">
        <v>64.12</v>
      </c>
      <c r="L111" s="43">
        <f t="shared" si="3"/>
        <v>0</v>
      </c>
      <c r="M111" s="25"/>
      <c r="N111" s="26"/>
    </row>
    <row r="112" spans="2:14">
      <c r="B112" s="19" t="s">
        <v>959</v>
      </c>
      <c r="C112" s="20" t="s">
        <v>15</v>
      </c>
      <c r="D112" s="21" t="s">
        <v>973</v>
      </c>
      <c r="E112" s="22">
        <v>29.89</v>
      </c>
      <c r="F112" s="21" t="s">
        <v>17</v>
      </c>
      <c r="G112" s="21" t="s">
        <v>79</v>
      </c>
      <c r="H112" s="21" t="s">
        <v>974</v>
      </c>
      <c r="I112" s="19" t="s">
        <v>959</v>
      </c>
      <c r="J112" s="22">
        <f t="shared" si="2"/>
        <v>29.89</v>
      </c>
      <c r="K112" s="22">
        <v>29.89</v>
      </c>
      <c r="L112" s="43">
        <f t="shared" si="3"/>
        <v>0</v>
      </c>
      <c r="M112" s="25"/>
      <c r="N112" s="26"/>
    </row>
    <row r="113" spans="2:14">
      <c r="B113" s="97" t="s">
        <v>959</v>
      </c>
      <c r="C113" s="98" t="s">
        <v>15</v>
      </c>
      <c r="D113" s="99" t="s">
        <v>975</v>
      </c>
      <c r="E113" s="100">
        <v>208.1</v>
      </c>
      <c r="F113" s="99" t="s">
        <v>17</v>
      </c>
      <c r="G113" s="99" t="s">
        <v>21</v>
      </c>
      <c r="H113" s="99" t="s">
        <v>976</v>
      </c>
      <c r="I113" s="97" t="s">
        <v>959</v>
      </c>
      <c r="J113" s="100">
        <f t="shared" si="2"/>
        <v>208.1</v>
      </c>
      <c r="K113" s="100">
        <v>208.1</v>
      </c>
      <c r="L113" s="43">
        <f t="shared" si="3"/>
        <v>0</v>
      </c>
      <c r="M113" s="25"/>
      <c r="N113" s="26"/>
    </row>
    <row r="114" spans="2:14">
      <c r="B114" s="97" t="s">
        <v>959</v>
      </c>
      <c r="C114" s="98" t="s">
        <v>15</v>
      </c>
      <c r="D114" s="99" t="s">
        <v>977</v>
      </c>
      <c r="E114" s="100">
        <v>79.11</v>
      </c>
      <c r="F114" s="99" t="s">
        <v>17</v>
      </c>
      <c r="G114" s="99" t="s">
        <v>21</v>
      </c>
      <c r="H114" s="99" t="s">
        <v>978</v>
      </c>
      <c r="I114" s="97" t="s">
        <v>959</v>
      </c>
      <c r="J114" s="100">
        <f t="shared" si="2"/>
        <v>79.11</v>
      </c>
      <c r="K114" s="100">
        <v>79.11</v>
      </c>
      <c r="L114" s="43">
        <f t="shared" si="3"/>
        <v>0</v>
      </c>
      <c r="M114" s="25"/>
      <c r="N114" s="26"/>
    </row>
    <row r="115" spans="2:14">
      <c r="B115" s="72" t="s">
        <v>979</v>
      </c>
      <c r="C115" s="73" t="s">
        <v>15</v>
      </c>
      <c r="D115" s="74" t="s">
        <v>980</v>
      </c>
      <c r="E115" s="75">
        <v>1635.39</v>
      </c>
      <c r="F115" s="74" t="s">
        <v>17</v>
      </c>
      <c r="G115" s="74" t="s">
        <v>21</v>
      </c>
      <c r="H115" s="74" t="s">
        <v>981</v>
      </c>
      <c r="I115" s="72" t="s">
        <v>979</v>
      </c>
      <c r="J115" s="75">
        <f t="shared" si="2"/>
        <v>1635.39</v>
      </c>
      <c r="K115" s="75">
        <v>1635.39</v>
      </c>
      <c r="L115" s="43">
        <f t="shared" si="3"/>
        <v>0</v>
      </c>
      <c r="M115" s="25"/>
      <c r="N115" s="70" t="s">
        <v>23</v>
      </c>
    </row>
    <row r="116" spans="2:14">
      <c r="B116" s="19" t="s">
        <v>979</v>
      </c>
      <c r="C116" s="20" t="s">
        <v>15</v>
      </c>
      <c r="D116" s="21" t="s">
        <v>982</v>
      </c>
      <c r="E116" s="22">
        <v>370.69</v>
      </c>
      <c r="F116" s="21" t="s">
        <v>17</v>
      </c>
      <c r="G116" s="21" t="s">
        <v>21</v>
      </c>
      <c r="H116" s="21" t="s">
        <v>983</v>
      </c>
      <c r="I116" s="19" t="s">
        <v>979</v>
      </c>
      <c r="J116" s="22">
        <f t="shared" si="2"/>
        <v>370.69</v>
      </c>
      <c r="K116" s="22">
        <v>370.69</v>
      </c>
      <c r="L116" s="43">
        <f t="shared" si="3"/>
        <v>0</v>
      </c>
      <c r="M116" s="25"/>
      <c r="N116" s="31"/>
    </row>
    <row r="117" spans="2:14">
      <c r="B117" s="72" t="s">
        <v>979</v>
      </c>
      <c r="C117" s="73" t="s">
        <v>15</v>
      </c>
      <c r="D117" s="74" t="s">
        <v>984</v>
      </c>
      <c r="E117" s="75">
        <v>109</v>
      </c>
      <c r="F117" s="74" t="s">
        <v>17</v>
      </c>
      <c r="G117" s="74" t="s">
        <v>21</v>
      </c>
      <c r="H117" s="74" t="s">
        <v>985</v>
      </c>
      <c r="I117" s="72" t="s">
        <v>979</v>
      </c>
      <c r="J117" s="75">
        <f t="shared" si="2"/>
        <v>109</v>
      </c>
      <c r="K117" s="75">
        <v>109</v>
      </c>
      <c r="L117" s="43">
        <f t="shared" si="3"/>
        <v>0</v>
      </c>
      <c r="M117" s="25"/>
      <c r="N117" s="70" t="s">
        <v>63</v>
      </c>
    </row>
    <row r="118" spans="2:14">
      <c r="B118" s="72" t="s">
        <v>979</v>
      </c>
      <c r="C118" s="73" t="s">
        <v>15</v>
      </c>
      <c r="D118" s="74" t="s">
        <v>986</v>
      </c>
      <c r="E118" s="75">
        <v>140.76</v>
      </c>
      <c r="F118" s="74" t="s">
        <v>17</v>
      </c>
      <c r="G118" s="74" t="s">
        <v>21</v>
      </c>
      <c r="H118" s="74" t="s">
        <v>987</v>
      </c>
      <c r="I118" s="72" t="s">
        <v>979</v>
      </c>
      <c r="J118" s="75">
        <f t="shared" si="2"/>
        <v>140.76</v>
      </c>
      <c r="K118" s="75">
        <v>140.76</v>
      </c>
      <c r="L118" s="43">
        <f t="shared" si="3"/>
        <v>0</v>
      </c>
      <c r="M118" s="25"/>
      <c r="N118" s="70" t="s">
        <v>23</v>
      </c>
    </row>
    <row r="119" spans="2:14">
      <c r="B119" s="97" t="s">
        <v>979</v>
      </c>
      <c r="C119" s="98" t="s">
        <v>15</v>
      </c>
      <c r="D119" s="99" t="s">
        <v>988</v>
      </c>
      <c r="E119" s="100">
        <v>2355.96</v>
      </c>
      <c r="F119" s="99" t="s">
        <v>17</v>
      </c>
      <c r="G119" s="99" t="s">
        <v>21</v>
      </c>
      <c r="H119" s="99" t="s">
        <v>989</v>
      </c>
      <c r="I119" s="97" t="s">
        <v>979</v>
      </c>
      <c r="J119" s="100">
        <f t="shared" si="2"/>
        <v>2355.96</v>
      </c>
      <c r="K119" s="100">
        <v>2355.96</v>
      </c>
      <c r="L119" s="43">
        <f t="shared" si="3"/>
        <v>0</v>
      </c>
      <c r="M119" s="25"/>
      <c r="N119" s="70" t="s">
        <v>56</v>
      </c>
    </row>
    <row r="120" spans="2:14">
      <c r="B120" s="97" t="s">
        <v>979</v>
      </c>
      <c r="C120" s="98" t="s">
        <v>15</v>
      </c>
      <c r="D120" s="99" t="s">
        <v>990</v>
      </c>
      <c r="E120" s="100">
        <v>498.66</v>
      </c>
      <c r="F120" s="99" t="s">
        <v>17</v>
      </c>
      <c r="G120" s="99" t="s">
        <v>21</v>
      </c>
      <c r="H120" s="99" t="s">
        <v>991</v>
      </c>
      <c r="I120" s="97" t="s">
        <v>979</v>
      </c>
      <c r="J120" s="100">
        <f t="shared" si="2"/>
        <v>498.66</v>
      </c>
      <c r="K120" s="100">
        <v>498.66</v>
      </c>
      <c r="L120" s="43">
        <f t="shared" si="3"/>
        <v>0</v>
      </c>
      <c r="M120" s="25"/>
      <c r="N120" s="70" t="s">
        <v>56</v>
      </c>
    </row>
    <row r="121" spans="2:14">
      <c r="B121" s="19" t="s">
        <v>992</v>
      </c>
      <c r="C121" s="20" t="s">
        <v>15</v>
      </c>
      <c r="D121" s="21" t="s">
        <v>993</v>
      </c>
      <c r="E121" s="22">
        <v>424.54</v>
      </c>
      <c r="F121" s="21" t="s">
        <v>17</v>
      </c>
      <c r="G121" s="21" t="s">
        <v>21</v>
      </c>
      <c r="H121" s="21" t="s">
        <v>994</v>
      </c>
      <c r="I121" s="19" t="s">
        <v>992</v>
      </c>
      <c r="J121" s="22">
        <f t="shared" si="2"/>
        <v>424.54</v>
      </c>
      <c r="K121" s="22">
        <v>424.54</v>
      </c>
      <c r="L121" s="43">
        <f t="shared" si="3"/>
        <v>0</v>
      </c>
      <c r="M121" s="25"/>
      <c r="N121" s="26"/>
    </row>
    <row r="122" spans="2:14">
      <c r="B122" s="19" t="s">
        <v>992</v>
      </c>
      <c r="C122" s="20" t="s">
        <v>15</v>
      </c>
      <c r="D122" s="21" t="s">
        <v>995</v>
      </c>
      <c r="E122" s="22">
        <v>199.87</v>
      </c>
      <c r="F122" s="21" t="s">
        <v>17</v>
      </c>
      <c r="G122" s="21" t="s">
        <v>21</v>
      </c>
      <c r="H122" s="21" t="s">
        <v>996</v>
      </c>
      <c r="I122" s="19" t="s">
        <v>992</v>
      </c>
      <c r="J122" s="22">
        <f t="shared" si="2"/>
        <v>199.87</v>
      </c>
      <c r="K122" s="22">
        <v>199.87</v>
      </c>
      <c r="L122" s="43">
        <f t="shared" si="3"/>
        <v>0</v>
      </c>
      <c r="M122" s="25"/>
      <c r="N122" s="26"/>
    </row>
    <row r="123" spans="2:14">
      <c r="B123" s="19" t="s">
        <v>992</v>
      </c>
      <c r="C123" s="20" t="s">
        <v>15</v>
      </c>
      <c r="D123" s="21" t="s">
        <v>997</v>
      </c>
      <c r="E123" s="22">
        <v>57.39</v>
      </c>
      <c r="F123" s="21" t="s">
        <v>29</v>
      </c>
      <c r="G123" s="21"/>
      <c r="H123" s="21" t="s">
        <v>998</v>
      </c>
      <c r="I123" s="19" t="s">
        <v>992</v>
      </c>
      <c r="J123" s="22">
        <f t="shared" si="2"/>
        <v>57.39</v>
      </c>
      <c r="K123" s="22">
        <v>57.39</v>
      </c>
      <c r="L123" s="43">
        <f t="shared" si="3"/>
        <v>0</v>
      </c>
      <c r="M123" s="25"/>
      <c r="N123" s="31"/>
    </row>
    <row r="124" spans="2:14">
      <c r="B124" s="19" t="s">
        <v>992</v>
      </c>
      <c r="C124" s="20" t="s">
        <v>15</v>
      </c>
      <c r="D124" s="21" t="s">
        <v>999</v>
      </c>
      <c r="E124" s="22">
        <v>175.65</v>
      </c>
      <c r="F124" s="21" t="s">
        <v>17</v>
      </c>
      <c r="G124" s="21" t="s">
        <v>21</v>
      </c>
      <c r="H124" s="21" t="s">
        <v>1000</v>
      </c>
      <c r="I124" s="19" t="s">
        <v>992</v>
      </c>
      <c r="J124" s="22">
        <f t="shared" si="2"/>
        <v>175.65</v>
      </c>
      <c r="K124" s="22">
        <v>175.65</v>
      </c>
      <c r="L124" s="43">
        <f t="shared" si="3"/>
        <v>0</v>
      </c>
      <c r="M124" s="25"/>
      <c r="N124" s="26"/>
    </row>
    <row r="125" spans="2:14">
      <c r="B125" s="19" t="s">
        <v>992</v>
      </c>
      <c r="C125" s="20" t="s">
        <v>15</v>
      </c>
      <c r="D125" s="21" t="s">
        <v>1001</v>
      </c>
      <c r="E125" s="22">
        <v>31.49</v>
      </c>
      <c r="F125" s="21" t="s">
        <v>17</v>
      </c>
      <c r="G125" s="21" t="s">
        <v>21</v>
      </c>
      <c r="H125" s="21" t="s">
        <v>1002</v>
      </c>
      <c r="I125" s="19" t="s">
        <v>992</v>
      </c>
      <c r="J125" s="22">
        <f t="shared" si="2"/>
        <v>31.49</v>
      </c>
      <c r="K125" s="22">
        <v>31.49</v>
      </c>
      <c r="L125" s="43">
        <f t="shared" si="3"/>
        <v>0</v>
      </c>
      <c r="M125" s="25"/>
      <c r="N125" s="31"/>
    </row>
    <row r="126" spans="2:14">
      <c r="B126" s="72" t="s">
        <v>992</v>
      </c>
      <c r="C126" s="73" t="s">
        <v>15</v>
      </c>
      <c r="D126" s="74" t="s">
        <v>1003</v>
      </c>
      <c r="E126" s="75">
        <v>98.73</v>
      </c>
      <c r="F126" s="74" t="s">
        <v>17</v>
      </c>
      <c r="G126" s="74" t="s">
        <v>18</v>
      </c>
      <c r="H126" s="74" t="s">
        <v>1004</v>
      </c>
      <c r="I126" s="72" t="s">
        <v>992</v>
      </c>
      <c r="J126" s="75">
        <f t="shared" si="2"/>
        <v>98.73</v>
      </c>
      <c r="K126" s="75">
        <v>98.73</v>
      </c>
      <c r="L126" s="43">
        <f t="shared" si="3"/>
        <v>0</v>
      </c>
      <c r="M126" s="25"/>
      <c r="N126" s="70" t="s">
        <v>23</v>
      </c>
    </row>
    <row r="127" spans="2:14">
      <c r="B127" s="72" t="s">
        <v>992</v>
      </c>
      <c r="C127" s="73" t="s">
        <v>15</v>
      </c>
      <c r="D127" s="74" t="s">
        <v>1005</v>
      </c>
      <c r="E127" s="75">
        <v>67.14</v>
      </c>
      <c r="F127" s="74" t="s">
        <v>17</v>
      </c>
      <c r="G127" s="74" t="s">
        <v>79</v>
      </c>
      <c r="H127" s="74" t="s">
        <v>1006</v>
      </c>
      <c r="I127" s="72" t="s">
        <v>992</v>
      </c>
      <c r="J127" s="75">
        <f t="shared" si="2"/>
        <v>67.14</v>
      </c>
      <c r="K127" s="75">
        <v>67.14</v>
      </c>
      <c r="L127" s="43">
        <f t="shared" si="3"/>
        <v>0</v>
      </c>
      <c r="M127" s="25"/>
      <c r="N127" s="70" t="s">
        <v>60</v>
      </c>
    </row>
    <row r="128" spans="2:14">
      <c r="B128" s="72" t="s">
        <v>992</v>
      </c>
      <c r="C128" s="73" t="s">
        <v>15</v>
      </c>
      <c r="D128" s="74" t="s">
        <v>1007</v>
      </c>
      <c r="E128" s="75">
        <v>450.79</v>
      </c>
      <c r="F128" s="74" t="s">
        <v>17</v>
      </c>
      <c r="G128" s="74" t="s">
        <v>21</v>
      </c>
      <c r="H128" s="74" t="s">
        <v>1008</v>
      </c>
      <c r="I128" s="72" t="s">
        <v>992</v>
      </c>
      <c r="J128" s="75">
        <f t="shared" si="2"/>
        <v>450.79</v>
      </c>
      <c r="K128" s="75">
        <v>450.79</v>
      </c>
      <c r="L128" s="43">
        <f t="shared" si="3"/>
        <v>0</v>
      </c>
      <c r="M128" s="25"/>
      <c r="N128" s="70" t="s">
        <v>23</v>
      </c>
    </row>
    <row r="129" spans="2:14">
      <c r="B129" s="19" t="s">
        <v>992</v>
      </c>
      <c r="C129" s="20" t="s">
        <v>64</v>
      </c>
      <c r="D129" s="21" t="s">
        <v>1009</v>
      </c>
      <c r="E129" s="22">
        <v>75.19</v>
      </c>
      <c r="F129" s="21" t="s">
        <v>29</v>
      </c>
      <c r="G129" s="21"/>
      <c r="H129" s="21" t="s">
        <v>1010</v>
      </c>
      <c r="I129" s="19" t="s">
        <v>992</v>
      </c>
      <c r="J129" s="22">
        <f t="shared" si="2"/>
        <v>75.19</v>
      </c>
      <c r="K129" s="22">
        <v>75.19</v>
      </c>
      <c r="L129" s="43">
        <f t="shared" si="3"/>
        <v>0</v>
      </c>
      <c r="M129" s="25"/>
      <c r="N129" s="26"/>
    </row>
    <row r="130" spans="2:14">
      <c r="B130" s="97" t="s">
        <v>992</v>
      </c>
      <c r="C130" s="98" t="s">
        <v>15</v>
      </c>
      <c r="D130" s="99" t="s">
        <v>1011</v>
      </c>
      <c r="E130" s="100">
        <v>997.32</v>
      </c>
      <c r="F130" s="99" t="s">
        <v>17</v>
      </c>
      <c r="G130" s="99" t="s">
        <v>21</v>
      </c>
      <c r="H130" s="99" t="s">
        <v>1012</v>
      </c>
      <c r="I130" s="97" t="s">
        <v>992</v>
      </c>
      <c r="J130" s="100">
        <f t="shared" si="2"/>
        <v>997.32</v>
      </c>
      <c r="K130" s="100">
        <v>997.32</v>
      </c>
      <c r="L130" s="43">
        <f t="shared" si="3"/>
        <v>0</v>
      </c>
      <c r="M130" s="25"/>
      <c r="N130" s="70" t="s">
        <v>56</v>
      </c>
    </row>
    <row r="131" spans="2:14">
      <c r="B131" s="97"/>
      <c r="C131" s="98"/>
      <c r="D131" s="99"/>
      <c r="E131" s="100"/>
      <c r="F131" s="99" t="s">
        <v>71</v>
      </c>
      <c r="G131" s="99"/>
      <c r="H131" s="99"/>
      <c r="I131" s="97"/>
      <c r="J131" s="100"/>
      <c r="K131" s="100"/>
      <c r="L131" s="43"/>
      <c r="M131" s="25"/>
      <c r="N131" s="26"/>
    </row>
    <row r="132" spans="2:14">
      <c r="B132" s="97" t="s">
        <v>992</v>
      </c>
      <c r="C132" s="98" t="s">
        <v>15</v>
      </c>
      <c r="D132" s="99" t="s">
        <v>1013</v>
      </c>
      <c r="E132" s="100">
        <v>4382.76</v>
      </c>
      <c r="F132" s="99" t="s">
        <v>17</v>
      </c>
      <c r="G132" s="99" t="s">
        <v>18</v>
      </c>
      <c r="H132" s="99" t="s">
        <v>1014</v>
      </c>
      <c r="I132" s="97" t="s">
        <v>992</v>
      </c>
      <c r="J132" s="100">
        <f t="shared" ref="J132:J139" si="4">E132</f>
        <v>4382.76</v>
      </c>
      <c r="K132" s="100">
        <v>4382.76</v>
      </c>
      <c r="L132" s="43">
        <f t="shared" ref="L132:L139" si="5">J132-K132</f>
        <v>0</v>
      </c>
      <c r="M132" s="25"/>
      <c r="N132" s="70" t="s">
        <v>56</v>
      </c>
    </row>
    <row r="133" spans="2:14">
      <c r="B133" s="72" t="s">
        <v>1015</v>
      </c>
      <c r="C133" s="73" t="s">
        <v>15</v>
      </c>
      <c r="D133" s="74" t="s">
        <v>1016</v>
      </c>
      <c r="E133" s="75">
        <v>274.74</v>
      </c>
      <c r="F133" s="74" t="s">
        <v>29</v>
      </c>
      <c r="G133" s="74"/>
      <c r="H133" s="74" t="s">
        <v>1017</v>
      </c>
      <c r="I133" s="72" t="s">
        <v>1015</v>
      </c>
      <c r="J133" s="75">
        <f t="shared" si="4"/>
        <v>274.74</v>
      </c>
      <c r="K133" s="75">
        <v>274.74</v>
      </c>
      <c r="L133" s="43">
        <f t="shared" si="5"/>
        <v>0</v>
      </c>
      <c r="M133" s="25"/>
      <c r="N133" s="70" t="s">
        <v>23</v>
      </c>
    </row>
    <row r="134" spans="2:14">
      <c r="B134" s="72" t="s">
        <v>1015</v>
      </c>
      <c r="C134" s="73" t="s">
        <v>15</v>
      </c>
      <c r="D134" s="74" t="s">
        <v>1018</v>
      </c>
      <c r="E134" s="75">
        <v>249.82</v>
      </c>
      <c r="F134" s="74" t="s">
        <v>29</v>
      </c>
      <c r="G134" s="74"/>
      <c r="H134" s="74" t="s">
        <v>1019</v>
      </c>
      <c r="I134" s="72" t="s">
        <v>1015</v>
      </c>
      <c r="J134" s="75">
        <f t="shared" si="4"/>
        <v>249.82</v>
      </c>
      <c r="K134" s="75">
        <v>249.82</v>
      </c>
      <c r="L134" s="43">
        <f t="shared" si="5"/>
        <v>0</v>
      </c>
      <c r="M134" s="25"/>
      <c r="N134" s="70" t="s">
        <v>63</v>
      </c>
    </row>
    <row r="135" spans="2:14">
      <c r="B135" s="19" t="s">
        <v>1015</v>
      </c>
      <c r="C135" s="20" t="s">
        <v>15</v>
      </c>
      <c r="D135" s="21" t="s">
        <v>1020</v>
      </c>
      <c r="E135" s="22">
        <v>398.8</v>
      </c>
      <c r="F135" s="21" t="s">
        <v>17</v>
      </c>
      <c r="G135" s="21" t="s">
        <v>21</v>
      </c>
      <c r="H135" s="21" t="s">
        <v>1021</v>
      </c>
      <c r="I135" s="19" t="s">
        <v>1015</v>
      </c>
      <c r="J135" s="22">
        <f t="shared" si="4"/>
        <v>398.8</v>
      </c>
      <c r="K135" s="22">
        <v>398.8</v>
      </c>
      <c r="L135" s="43">
        <f t="shared" si="5"/>
        <v>0</v>
      </c>
      <c r="M135" s="25"/>
      <c r="N135" s="26"/>
    </row>
    <row r="136" spans="2:14">
      <c r="B136" s="72" t="s">
        <v>1015</v>
      </c>
      <c r="C136" s="73" t="s">
        <v>15</v>
      </c>
      <c r="D136" s="74" t="s">
        <v>1022</v>
      </c>
      <c r="E136" s="75">
        <v>163.57</v>
      </c>
      <c r="F136" s="74" t="s">
        <v>17</v>
      </c>
      <c r="G136" s="74" t="s">
        <v>21</v>
      </c>
      <c r="H136" s="74" t="s">
        <v>1023</v>
      </c>
      <c r="I136" s="72" t="s">
        <v>1015</v>
      </c>
      <c r="J136" s="75">
        <f t="shared" si="4"/>
        <v>163.57</v>
      </c>
      <c r="K136" s="75">
        <v>163.57</v>
      </c>
      <c r="L136" s="43">
        <f t="shared" si="5"/>
        <v>0</v>
      </c>
      <c r="M136" s="25"/>
      <c r="N136" s="70" t="s">
        <v>23</v>
      </c>
    </row>
    <row r="137" spans="2:14">
      <c r="B137" s="72" t="s">
        <v>1015</v>
      </c>
      <c r="C137" s="73" t="s">
        <v>15</v>
      </c>
      <c r="D137" s="74" t="s">
        <v>1024</v>
      </c>
      <c r="E137" s="75">
        <v>122.34</v>
      </c>
      <c r="F137" s="74" t="s">
        <v>17</v>
      </c>
      <c r="G137" s="74" t="s">
        <v>21</v>
      </c>
      <c r="H137" s="74" t="s">
        <v>1025</v>
      </c>
      <c r="I137" s="72" t="s">
        <v>1015</v>
      </c>
      <c r="J137" s="75">
        <f t="shared" si="4"/>
        <v>122.34</v>
      </c>
      <c r="K137" s="75">
        <v>122.34</v>
      </c>
      <c r="L137" s="43">
        <f t="shared" si="5"/>
        <v>0</v>
      </c>
      <c r="M137" s="25"/>
      <c r="N137" s="70" t="s">
        <v>33</v>
      </c>
    </row>
    <row r="138" spans="2:14">
      <c r="B138" s="72" t="s">
        <v>1015</v>
      </c>
      <c r="C138" s="73" t="s">
        <v>15</v>
      </c>
      <c r="D138" s="74" t="s">
        <v>1026</v>
      </c>
      <c r="E138" s="75">
        <v>74.03</v>
      </c>
      <c r="F138" s="74" t="s">
        <v>29</v>
      </c>
      <c r="G138" s="74"/>
      <c r="H138" s="74" t="s">
        <v>1027</v>
      </c>
      <c r="I138" s="72" t="s">
        <v>1015</v>
      </c>
      <c r="J138" s="75">
        <f t="shared" si="4"/>
        <v>74.03</v>
      </c>
      <c r="K138" s="75">
        <v>74.03</v>
      </c>
      <c r="L138" s="43">
        <f t="shared" si="5"/>
        <v>0</v>
      </c>
      <c r="M138" s="25"/>
      <c r="N138" s="70" t="s">
        <v>33</v>
      </c>
    </row>
    <row r="139" spans="2:14">
      <c r="B139" s="19" t="s">
        <v>1015</v>
      </c>
      <c r="C139" s="20" t="s">
        <v>15</v>
      </c>
      <c r="D139" s="21" t="s">
        <v>1028</v>
      </c>
      <c r="E139" s="22">
        <v>438</v>
      </c>
      <c r="F139" s="21" t="s">
        <v>17</v>
      </c>
      <c r="G139" s="21" t="s">
        <v>21</v>
      </c>
      <c r="H139" s="21" t="s">
        <v>1029</v>
      </c>
      <c r="I139" s="19" t="s">
        <v>1015</v>
      </c>
      <c r="J139" s="22">
        <f t="shared" si="4"/>
        <v>438</v>
      </c>
      <c r="K139" s="22">
        <v>438</v>
      </c>
      <c r="L139" s="43">
        <f t="shared" si="5"/>
        <v>0</v>
      </c>
      <c r="M139" s="25"/>
      <c r="N139" s="26"/>
    </row>
    <row r="140" spans="2:14">
      <c r="B140" s="97" t="s">
        <v>1015</v>
      </c>
      <c r="C140" s="98" t="s">
        <v>15</v>
      </c>
      <c r="D140" s="99" t="s">
        <v>1030</v>
      </c>
      <c r="E140" s="100">
        <v>1025.1</v>
      </c>
      <c r="F140" s="99" t="s">
        <v>17</v>
      </c>
      <c r="G140" s="99" t="s">
        <v>21</v>
      </c>
      <c r="H140" s="99" t="s">
        <v>1031</v>
      </c>
      <c r="I140" s="97" t="s">
        <v>1015</v>
      </c>
      <c r="J140" s="100">
        <f t="shared" ref="J140:J203" si="6">E140</f>
        <v>1025.1</v>
      </c>
      <c r="K140" s="100">
        <v>1025.1</v>
      </c>
      <c r="L140" s="43">
        <f t="shared" ref="L140:L203" si="7">J140-K140</f>
        <v>0</v>
      </c>
      <c r="M140" s="25"/>
      <c r="N140" s="70" t="s">
        <v>56</v>
      </c>
    </row>
    <row r="141" spans="2:14">
      <c r="B141" s="97"/>
      <c r="C141" s="98"/>
      <c r="D141" s="99"/>
      <c r="E141" s="100"/>
      <c r="F141" s="99" t="s">
        <v>71</v>
      </c>
      <c r="G141" s="99"/>
      <c r="H141" s="99"/>
      <c r="I141" s="106"/>
      <c r="J141" s="100">
        <f t="shared" si="6"/>
        <v>0</v>
      </c>
      <c r="K141" s="100"/>
      <c r="L141" s="43">
        <f t="shared" si="7"/>
        <v>0</v>
      </c>
      <c r="M141" s="25"/>
      <c r="N141" s="26"/>
    </row>
    <row r="142" spans="2:14">
      <c r="B142" s="84" t="s">
        <v>1032</v>
      </c>
      <c r="C142" s="73" t="s">
        <v>15</v>
      </c>
      <c r="D142" s="74" t="s">
        <v>1033</v>
      </c>
      <c r="E142" s="75">
        <v>355.37</v>
      </c>
      <c r="F142" s="74" t="s">
        <v>17</v>
      </c>
      <c r="G142" s="74" t="s">
        <v>21</v>
      </c>
      <c r="H142" s="74" t="s">
        <v>1034</v>
      </c>
      <c r="I142" s="84" t="s">
        <v>1032</v>
      </c>
      <c r="J142" s="75">
        <f t="shared" si="6"/>
        <v>355.37</v>
      </c>
      <c r="K142" s="75">
        <v>355.37</v>
      </c>
      <c r="L142" s="43">
        <f t="shared" si="7"/>
        <v>0</v>
      </c>
      <c r="M142" s="25"/>
      <c r="N142" s="70" t="s">
        <v>224</v>
      </c>
    </row>
    <row r="143" spans="2:14">
      <c r="B143" s="34" t="s">
        <v>1032</v>
      </c>
      <c r="C143" s="20" t="s">
        <v>15</v>
      </c>
      <c r="D143" s="21" t="s">
        <v>1035</v>
      </c>
      <c r="E143" s="22">
        <v>444.25</v>
      </c>
      <c r="F143" s="21" t="s">
        <v>17</v>
      </c>
      <c r="G143" s="21" t="s">
        <v>21</v>
      </c>
      <c r="H143" s="21" t="s">
        <v>1036</v>
      </c>
      <c r="I143" s="34" t="s">
        <v>1032</v>
      </c>
      <c r="J143" s="22">
        <f t="shared" si="6"/>
        <v>444.25</v>
      </c>
      <c r="K143" s="22">
        <v>444.25</v>
      </c>
      <c r="L143" s="43">
        <f t="shared" si="7"/>
        <v>0</v>
      </c>
      <c r="M143" s="25"/>
      <c r="N143" s="31"/>
    </row>
    <row r="144" spans="2:14">
      <c r="B144" s="34" t="s">
        <v>1032</v>
      </c>
      <c r="C144" s="20" t="s">
        <v>15</v>
      </c>
      <c r="D144" s="21" t="s">
        <v>1037</v>
      </c>
      <c r="E144" s="22">
        <v>287.87</v>
      </c>
      <c r="F144" s="21" t="s">
        <v>29</v>
      </c>
      <c r="G144" s="21"/>
      <c r="H144" s="21" t="s">
        <v>1038</v>
      </c>
      <c r="I144" s="34" t="s">
        <v>1032</v>
      </c>
      <c r="J144" s="22">
        <f t="shared" si="6"/>
        <v>287.87</v>
      </c>
      <c r="K144" s="22">
        <v>287.87</v>
      </c>
      <c r="L144" s="43">
        <f t="shared" si="7"/>
        <v>0</v>
      </c>
      <c r="M144" s="25"/>
      <c r="N144" s="31"/>
    </row>
    <row r="145" spans="1:14">
      <c r="B145" s="34" t="s">
        <v>1032</v>
      </c>
      <c r="C145" s="20" t="s">
        <v>15</v>
      </c>
      <c r="D145" s="21" t="s">
        <v>1039</v>
      </c>
      <c r="E145" s="22">
        <v>70.5</v>
      </c>
      <c r="F145" s="21" t="s">
        <v>17</v>
      </c>
      <c r="G145" s="21" t="s">
        <v>21</v>
      </c>
      <c r="H145" s="21" t="s">
        <v>1040</v>
      </c>
      <c r="I145" s="34" t="s">
        <v>1032</v>
      </c>
      <c r="J145" s="22">
        <f t="shared" si="6"/>
        <v>70.5</v>
      </c>
      <c r="K145" s="22">
        <v>70.5</v>
      </c>
      <c r="L145" s="43">
        <f t="shared" si="7"/>
        <v>0</v>
      </c>
      <c r="M145" s="25"/>
      <c r="N145" s="26"/>
    </row>
    <row r="146" spans="1:14">
      <c r="B146" s="34" t="s">
        <v>1041</v>
      </c>
      <c r="C146" s="20" t="s">
        <v>15</v>
      </c>
      <c r="D146" s="21" t="s">
        <v>1042</v>
      </c>
      <c r="E146" s="22">
        <v>178.58</v>
      </c>
      <c r="F146" s="21" t="s">
        <v>17</v>
      </c>
      <c r="G146" s="21" t="s">
        <v>21</v>
      </c>
      <c r="H146" s="21" t="s">
        <v>1043</v>
      </c>
      <c r="I146" s="34" t="s">
        <v>1041</v>
      </c>
      <c r="J146" s="22">
        <f t="shared" si="6"/>
        <v>178.58</v>
      </c>
      <c r="K146" s="22">
        <v>178.58</v>
      </c>
      <c r="L146" s="43">
        <f t="shared" si="7"/>
        <v>0</v>
      </c>
      <c r="M146" s="25"/>
      <c r="N146" s="26"/>
    </row>
    <row r="147" spans="1:14">
      <c r="B147" s="34" t="s">
        <v>1041</v>
      </c>
      <c r="C147" s="20" t="s">
        <v>15</v>
      </c>
      <c r="D147" s="21" t="s">
        <v>1044</v>
      </c>
      <c r="E147" s="22">
        <v>404.77</v>
      </c>
      <c r="F147" s="21" t="s">
        <v>17</v>
      </c>
      <c r="G147" s="21" t="s">
        <v>79</v>
      </c>
      <c r="H147" s="21" t="s">
        <v>1045</v>
      </c>
      <c r="I147" s="34" t="s">
        <v>1041</v>
      </c>
      <c r="J147" s="22">
        <f t="shared" si="6"/>
        <v>404.77</v>
      </c>
      <c r="K147" s="22">
        <v>404.77</v>
      </c>
      <c r="L147" s="43">
        <f t="shared" si="7"/>
        <v>0</v>
      </c>
      <c r="M147" s="25"/>
      <c r="N147" s="26"/>
    </row>
    <row r="148" spans="1:14">
      <c r="B148" s="84" t="s">
        <v>1041</v>
      </c>
      <c r="C148" s="73" t="s">
        <v>15</v>
      </c>
      <c r="D148" s="74" t="s">
        <v>1046</v>
      </c>
      <c r="E148" s="75">
        <v>61.62</v>
      </c>
      <c r="F148" s="74" t="s">
        <v>17</v>
      </c>
      <c r="G148" s="74" t="s">
        <v>21</v>
      </c>
      <c r="H148" s="74" t="s">
        <v>1047</v>
      </c>
      <c r="I148" s="84" t="s">
        <v>1041</v>
      </c>
      <c r="J148" s="75">
        <f t="shared" si="6"/>
        <v>61.62</v>
      </c>
      <c r="K148" s="75">
        <v>61.62</v>
      </c>
      <c r="L148" s="43">
        <f t="shared" si="7"/>
        <v>0</v>
      </c>
      <c r="M148" s="25"/>
      <c r="N148" s="70" t="s">
        <v>190</v>
      </c>
    </row>
    <row r="149" spans="1:14">
      <c r="B149" s="84" t="s">
        <v>1041</v>
      </c>
      <c r="C149" s="73" t="s">
        <v>15</v>
      </c>
      <c r="D149" s="74" t="s">
        <v>1048</v>
      </c>
      <c r="E149" s="75">
        <v>565.6</v>
      </c>
      <c r="F149" s="74" t="s">
        <v>17</v>
      </c>
      <c r="G149" s="74" t="s">
        <v>79</v>
      </c>
      <c r="H149" s="74" t="s">
        <v>1049</v>
      </c>
      <c r="I149" s="84" t="s">
        <v>1041</v>
      </c>
      <c r="J149" s="75">
        <f t="shared" si="6"/>
        <v>565.6</v>
      </c>
      <c r="K149" s="75">
        <v>565.6</v>
      </c>
      <c r="L149" s="43">
        <f t="shared" si="7"/>
        <v>0</v>
      </c>
      <c r="M149" s="25"/>
      <c r="N149" s="70" t="s">
        <v>23</v>
      </c>
    </row>
    <row r="150" spans="1:14">
      <c r="B150" s="84" t="s">
        <v>1041</v>
      </c>
      <c r="C150" s="73" t="s">
        <v>15</v>
      </c>
      <c r="D150" s="74" t="s">
        <v>1050</v>
      </c>
      <c r="E150" s="75">
        <v>61.62</v>
      </c>
      <c r="F150" s="74" t="s">
        <v>29</v>
      </c>
      <c r="G150" s="74"/>
      <c r="H150" s="74" t="s">
        <v>1051</v>
      </c>
      <c r="I150" s="84" t="s">
        <v>1041</v>
      </c>
      <c r="J150" s="75">
        <f t="shared" si="6"/>
        <v>61.62</v>
      </c>
      <c r="K150" s="75">
        <v>61.62</v>
      </c>
      <c r="L150" s="43">
        <f t="shared" si="7"/>
        <v>0</v>
      </c>
      <c r="M150" s="25"/>
      <c r="N150" s="70" t="s">
        <v>190</v>
      </c>
    </row>
    <row r="151" spans="1:14">
      <c r="B151" s="106" t="s">
        <v>1041</v>
      </c>
      <c r="C151" s="98" t="s">
        <v>15</v>
      </c>
      <c r="D151" s="99" t="s">
        <v>1052</v>
      </c>
      <c r="E151" s="100">
        <v>2053.17</v>
      </c>
      <c r="F151" s="99" t="s">
        <v>17</v>
      </c>
      <c r="G151" s="99" t="s">
        <v>21</v>
      </c>
      <c r="H151" s="99" t="s">
        <v>1053</v>
      </c>
      <c r="I151" s="106" t="s">
        <v>1041</v>
      </c>
      <c r="J151" s="100">
        <f t="shared" si="6"/>
        <v>2053.17</v>
      </c>
      <c r="K151" s="100">
        <v>1991.58</v>
      </c>
      <c r="L151" s="43">
        <f t="shared" si="7"/>
        <v>61.5900000000001</v>
      </c>
      <c r="M151" s="25"/>
      <c r="N151" s="70" t="s">
        <v>56</v>
      </c>
    </row>
    <row r="152" spans="1:14">
      <c r="B152" s="106"/>
      <c r="C152" s="98"/>
      <c r="D152" s="99"/>
      <c r="E152" s="100"/>
      <c r="F152" s="99" t="s">
        <v>71</v>
      </c>
      <c r="G152" s="99"/>
      <c r="H152" s="99"/>
      <c r="I152" s="106"/>
      <c r="J152" s="100">
        <f t="shared" si="6"/>
        <v>0</v>
      </c>
      <c r="K152" s="100">
        <v>61.59</v>
      </c>
      <c r="L152" s="43">
        <f t="shared" si="7"/>
        <v>-61.59</v>
      </c>
      <c r="M152" s="25"/>
      <c r="N152" s="26"/>
    </row>
    <row r="153" spans="1:14">
      <c r="B153" s="106" t="s">
        <v>1041</v>
      </c>
      <c r="C153" s="98" t="s">
        <v>15</v>
      </c>
      <c r="D153" s="99" t="s">
        <v>1054</v>
      </c>
      <c r="E153" s="100">
        <v>526.28</v>
      </c>
      <c r="F153" s="99" t="s">
        <v>17</v>
      </c>
      <c r="G153" s="99" t="s">
        <v>18</v>
      </c>
      <c r="H153" s="99" t="s">
        <v>1055</v>
      </c>
      <c r="I153" s="106" t="s">
        <v>1041</v>
      </c>
      <c r="J153" s="100">
        <f t="shared" si="6"/>
        <v>526.28</v>
      </c>
      <c r="K153" s="100">
        <v>526.28</v>
      </c>
      <c r="L153" s="43">
        <f t="shared" si="7"/>
        <v>0</v>
      </c>
      <c r="M153" s="25"/>
      <c r="N153" s="70" t="s">
        <v>56</v>
      </c>
    </row>
    <row r="154" spans="1:14">
      <c r="B154" s="106" t="s">
        <v>1041</v>
      </c>
      <c r="C154" s="98" t="s">
        <v>15</v>
      </c>
      <c r="D154" s="99" t="s">
        <v>1056</v>
      </c>
      <c r="E154" s="100">
        <v>58.67</v>
      </c>
      <c r="F154" s="99" t="s">
        <v>17</v>
      </c>
      <c r="G154" s="99" t="s">
        <v>21</v>
      </c>
      <c r="H154" s="99" t="s">
        <v>1057</v>
      </c>
      <c r="I154" s="106" t="s">
        <v>1041</v>
      </c>
      <c r="J154" s="100">
        <f t="shared" si="6"/>
        <v>58.67</v>
      </c>
      <c r="K154" s="100">
        <v>58.67</v>
      </c>
      <c r="L154" s="43">
        <f t="shared" si="7"/>
        <v>0</v>
      </c>
      <c r="M154" s="25"/>
      <c r="N154" s="70" t="s">
        <v>56</v>
      </c>
    </row>
    <row r="155" spans="1:14">
      <c r="B155" s="107" t="s">
        <v>1041</v>
      </c>
      <c r="C155" s="65" t="s">
        <v>15</v>
      </c>
      <c r="D155" s="66" t="s">
        <v>1058</v>
      </c>
      <c r="E155" s="67">
        <v>35.9</v>
      </c>
      <c r="F155" s="66" t="s">
        <v>17</v>
      </c>
      <c r="G155" s="66" t="s">
        <v>21</v>
      </c>
      <c r="H155" s="66" t="s">
        <v>1059</v>
      </c>
      <c r="I155" s="107" t="s">
        <v>1041</v>
      </c>
      <c r="J155" s="67">
        <f t="shared" si="6"/>
        <v>35.9</v>
      </c>
      <c r="K155" s="67">
        <v>35.9</v>
      </c>
      <c r="L155" s="43">
        <f t="shared" si="7"/>
        <v>0</v>
      </c>
      <c r="M155" s="25"/>
      <c r="N155" s="70" t="s">
        <v>366</v>
      </c>
    </row>
    <row r="156" spans="1:14">
      <c r="B156" s="84" t="s">
        <v>1060</v>
      </c>
      <c r="C156" s="73" t="s">
        <v>15</v>
      </c>
      <c r="D156" s="74" t="s">
        <v>1061</v>
      </c>
      <c r="E156" s="75">
        <v>188.11</v>
      </c>
      <c r="F156" s="74" t="s">
        <v>17</v>
      </c>
      <c r="G156" s="74" t="s">
        <v>21</v>
      </c>
      <c r="H156" s="74" t="s">
        <v>1062</v>
      </c>
      <c r="I156" s="84" t="s">
        <v>1060</v>
      </c>
      <c r="J156" s="75">
        <f t="shared" si="6"/>
        <v>188.11</v>
      </c>
      <c r="K156" s="75">
        <v>188.11</v>
      </c>
      <c r="L156" s="43">
        <f t="shared" si="7"/>
        <v>0</v>
      </c>
      <c r="M156" s="25"/>
      <c r="N156" s="70" t="s">
        <v>33</v>
      </c>
    </row>
    <row r="157" spans="1:14">
      <c r="B157" s="34" t="s">
        <v>1060</v>
      </c>
      <c r="C157" s="20" t="s">
        <v>15</v>
      </c>
      <c r="D157" s="21" t="s">
        <v>1063</v>
      </c>
      <c r="E157" s="22">
        <v>146.28</v>
      </c>
      <c r="F157" s="21" t="s">
        <v>17</v>
      </c>
      <c r="G157" s="21" t="s">
        <v>21</v>
      </c>
      <c r="H157" s="21" t="s">
        <v>1064</v>
      </c>
      <c r="I157" s="34" t="s">
        <v>1060</v>
      </c>
      <c r="J157" s="22">
        <f t="shared" si="6"/>
        <v>146.28</v>
      </c>
      <c r="K157" s="22">
        <v>146.28</v>
      </c>
      <c r="L157" s="43">
        <f t="shared" si="7"/>
        <v>0</v>
      </c>
      <c r="M157" s="25"/>
      <c r="N157" s="31"/>
    </row>
    <row r="158" spans="1:14">
      <c r="B158" s="84" t="s">
        <v>1060</v>
      </c>
      <c r="C158" s="73" t="s">
        <v>15</v>
      </c>
      <c r="D158" s="74" t="s">
        <v>1065</v>
      </c>
      <c r="E158" s="75">
        <v>210.11</v>
      </c>
      <c r="F158" s="74" t="s">
        <v>29</v>
      </c>
      <c r="G158" s="74"/>
      <c r="H158" s="74" t="s">
        <v>1066</v>
      </c>
      <c r="I158" s="84" t="s">
        <v>1060</v>
      </c>
      <c r="J158" s="75">
        <f t="shared" si="6"/>
        <v>210.11</v>
      </c>
      <c r="K158" s="75">
        <v>210.11</v>
      </c>
      <c r="L158" s="43">
        <f t="shared" si="7"/>
        <v>0</v>
      </c>
      <c r="M158" s="25"/>
      <c r="N158" s="70" t="s">
        <v>23</v>
      </c>
    </row>
    <row r="159" spans="1:14">
      <c r="A159" s="32"/>
      <c r="B159" s="84" t="s">
        <v>1060</v>
      </c>
      <c r="C159" s="73" t="s">
        <v>15</v>
      </c>
      <c r="D159" s="74" t="s">
        <v>1067</v>
      </c>
      <c r="E159" s="75">
        <v>103.7</v>
      </c>
      <c r="F159" s="74" t="s">
        <v>17</v>
      </c>
      <c r="G159" s="74" t="s">
        <v>21</v>
      </c>
      <c r="H159" s="74" t="s">
        <v>1068</v>
      </c>
      <c r="I159" s="84" t="s">
        <v>1060</v>
      </c>
      <c r="J159" s="75">
        <f t="shared" si="6"/>
        <v>103.7</v>
      </c>
      <c r="K159" s="75">
        <v>103.7</v>
      </c>
      <c r="L159" s="43">
        <f t="shared" si="7"/>
        <v>0</v>
      </c>
      <c r="M159" s="25"/>
      <c r="N159" s="70" t="s">
        <v>63</v>
      </c>
    </row>
    <row r="160" spans="1:14">
      <c r="A160" s="33"/>
      <c r="B160" s="34" t="s">
        <v>1060</v>
      </c>
      <c r="C160" s="20" t="s">
        <v>15</v>
      </c>
      <c r="D160" s="21" t="s">
        <v>1069</v>
      </c>
      <c r="E160" s="22">
        <v>185.34</v>
      </c>
      <c r="F160" s="21" t="s">
        <v>29</v>
      </c>
      <c r="G160" s="21"/>
      <c r="H160" s="21" t="s">
        <v>1070</v>
      </c>
      <c r="I160" s="34" t="s">
        <v>1060</v>
      </c>
      <c r="J160" s="22">
        <f t="shared" si="6"/>
        <v>185.34</v>
      </c>
      <c r="K160" s="22">
        <v>185.34</v>
      </c>
      <c r="L160" s="43">
        <f t="shared" si="7"/>
        <v>0</v>
      </c>
      <c r="M160" s="25"/>
      <c r="N160" s="26"/>
    </row>
    <row r="161" spans="2:14">
      <c r="B161" s="106" t="s">
        <v>1060</v>
      </c>
      <c r="C161" s="98" t="s">
        <v>15</v>
      </c>
      <c r="D161" s="99" t="s">
        <v>1071</v>
      </c>
      <c r="E161" s="100">
        <v>2013.34</v>
      </c>
      <c r="F161" s="99" t="s">
        <v>17</v>
      </c>
      <c r="G161" s="99" t="s">
        <v>21</v>
      </c>
      <c r="H161" s="99" t="s">
        <v>1072</v>
      </c>
      <c r="I161" s="106" t="s">
        <v>1060</v>
      </c>
      <c r="J161" s="100">
        <f t="shared" si="6"/>
        <v>2013.34</v>
      </c>
      <c r="K161" s="100">
        <v>2013.34</v>
      </c>
      <c r="L161" s="43">
        <f t="shared" si="7"/>
        <v>0</v>
      </c>
      <c r="M161" s="25"/>
      <c r="N161" s="70" t="s">
        <v>56</v>
      </c>
    </row>
    <row r="162" spans="2:14">
      <c r="B162" s="84" t="s">
        <v>1073</v>
      </c>
      <c r="C162" s="73" t="s">
        <v>15</v>
      </c>
      <c r="D162" s="74" t="s">
        <v>1074</v>
      </c>
      <c r="E162" s="75">
        <v>303.22</v>
      </c>
      <c r="F162" s="74" t="s">
        <v>17</v>
      </c>
      <c r="G162" s="74" t="s">
        <v>21</v>
      </c>
      <c r="H162" s="74" t="s">
        <v>1075</v>
      </c>
      <c r="I162" s="84" t="s">
        <v>1073</v>
      </c>
      <c r="J162" s="75">
        <f t="shared" si="6"/>
        <v>303.22</v>
      </c>
      <c r="K162" s="75">
        <v>303.22</v>
      </c>
      <c r="L162" s="43">
        <f t="shared" si="7"/>
        <v>0</v>
      </c>
      <c r="M162" s="25"/>
      <c r="N162" s="70" t="s">
        <v>39</v>
      </c>
    </row>
    <row r="163" spans="2:14">
      <c r="B163" s="34" t="s">
        <v>1073</v>
      </c>
      <c r="C163" s="20" t="s">
        <v>15</v>
      </c>
      <c r="D163" s="21" t="s">
        <v>1076</v>
      </c>
      <c r="E163" s="22">
        <v>78.79</v>
      </c>
      <c r="F163" s="21" t="s">
        <v>29</v>
      </c>
      <c r="G163" s="21"/>
      <c r="H163" s="21" t="s">
        <v>1077</v>
      </c>
      <c r="I163" s="34" t="s">
        <v>1073</v>
      </c>
      <c r="J163" s="22">
        <f t="shared" si="6"/>
        <v>78.79</v>
      </c>
      <c r="K163" s="22">
        <v>78.79</v>
      </c>
      <c r="L163" s="43">
        <f t="shared" si="7"/>
        <v>0</v>
      </c>
      <c r="M163" s="25"/>
      <c r="N163" s="26"/>
    </row>
    <row r="164" spans="2:14">
      <c r="B164" s="34" t="s">
        <v>1073</v>
      </c>
      <c r="C164" s="20" t="s">
        <v>15</v>
      </c>
      <c r="D164" s="21" t="s">
        <v>1078</v>
      </c>
      <c r="E164" s="22">
        <v>136.6</v>
      </c>
      <c r="F164" s="21" t="s">
        <v>17</v>
      </c>
      <c r="G164" s="21" t="s">
        <v>21</v>
      </c>
      <c r="H164" s="21" t="s">
        <v>1079</v>
      </c>
      <c r="I164" s="34" t="s">
        <v>1073</v>
      </c>
      <c r="J164" s="22">
        <f t="shared" si="6"/>
        <v>136.6</v>
      </c>
      <c r="K164" s="22">
        <v>136.6</v>
      </c>
      <c r="L164" s="43">
        <f t="shared" si="7"/>
        <v>0</v>
      </c>
      <c r="M164" s="25"/>
      <c r="N164" s="26"/>
    </row>
    <row r="165" spans="2:14">
      <c r="B165" s="84" t="s">
        <v>1073</v>
      </c>
      <c r="C165" s="73" t="s">
        <v>15</v>
      </c>
      <c r="D165" s="74" t="s">
        <v>1080</v>
      </c>
      <c r="E165" s="75">
        <v>157.58</v>
      </c>
      <c r="F165" s="74" t="s">
        <v>29</v>
      </c>
      <c r="G165" s="74"/>
      <c r="H165" s="74" t="s">
        <v>1081</v>
      </c>
      <c r="I165" s="84" t="s">
        <v>1073</v>
      </c>
      <c r="J165" s="75">
        <f t="shared" si="6"/>
        <v>157.58</v>
      </c>
      <c r="K165" s="75">
        <v>157.58</v>
      </c>
      <c r="L165" s="43">
        <f t="shared" si="7"/>
        <v>0</v>
      </c>
      <c r="M165" s="25"/>
      <c r="N165" s="70" t="s">
        <v>23</v>
      </c>
    </row>
    <row r="166" spans="2:14">
      <c r="B166" s="84" t="s">
        <v>1073</v>
      </c>
      <c r="C166" s="73" t="s">
        <v>15</v>
      </c>
      <c r="D166" s="74" t="s">
        <v>1082</v>
      </c>
      <c r="E166" s="75">
        <v>813.94</v>
      </c>
      <c r="F166" s="74" t="s">
        <v>17</v>
      </c>
      <c r="G166" s="74" t="s">
        <v>21</v>
      </c>
      <c r="H166" s="74" t="s">
        <v>1083</v>
      </c>
      <c r="I166" s="84" t="s">
        <v>1073</v>
      </c>
      <c r="J166" s="75">
        <f t="shared" si="6"/>
        <v>813.94</v>
      </c>
      <c r="K166" s="75">
        <v>813.94</v>
      </c>
      <c r="L166" s="43">
        <f t="shared" si="7"/>
        <v>0</v>
      </c>
      <c r="M166" s="25"/>
      <c r="N166" s="70" t="s">
        <v>60</v>
      </c>
    </row>
    <row r="167" spans="2:14">
      <c r="B167" s="34" t="s">
        <v>1073</v>
      </c>
      <c r="C167" s="20" t="s">
        <v>15</v>
      </c>
      <c r="D167" s="21" t="s">
        <v>1084</v>
      </c>
      <c r="E167" s="22">
        <v>399.74</v>
      </c>
      <c r="F167" s="21" t="s">
        <v>29</v>
      </c>
      <c r="G167" s="21"/>
      <c r="H167" s="21" t="s">
        <v>1085</v>
      </c>
      <c r="I167" s="34" t="s">
        <v>1073</v>
      </c>
      <c r="J167" s="22">
        <f t="shared" si="6"/>
        <v>399.74</v>
      </c>
      <c r="K167" s="22">
        <v>399.74</v>
      </c>
      <c r="L167" s="43">
        <f t="shared" si="7"/>
        <v>0</v>
      </c>
      <c r="M167" s="25"/>
      <c r="N167" s="31"/>
    </row>
    <row r="168" spans="2:14">
      <c r="B168" s="34" t="s">
        <v>1073</v>
      </c>
      <c r="C168" s="20" t="s">
        <v>15</v>
      </c>
      <c r="D168" s="21" t="s">
        <v>1086</v>
      </c>
      <c r="E168" s="22">
        <v>217.3</v>
      </c>
      <c r="F168" s="21" t="s">
        <v>29</v>
      </c>
      <c r="G168" s="21"/>
      <c r="H168" s="21" t="s">
        <v>1087</v>
      </c>
      <c r="I168" s="34" t="s">
        <v>1073</v>
      </c>
      <c r="J168" s="22">
        <f t="shared" si="6"/>
        <v>217.3</v>
      </c>
      <c r="K168" s="22">
        <v>217.3</v>
      </c>
      <c r="L168" s="43">
        <f t="shared" si="7"/>
        <v>0</v>
      </c>
      <c r="M168" s="25"/>
      <c r="N168" s="26"/>
    </row>
    <row r="169" spans="2:14">
      <c r="B169" s="34" t="s">
        <v>1073</v>
      </c>
      <c r="C169" s="20" t="s">
        <v>15</v>
      </c>
      <c r="D169" s="21" t="s">
        <v>1088</v>
      </c>
      <c r="E169" s="22">
        <v>202.99</v>
      </c>
      <c r="F169" s="21" t="s">
        <v>17</v>
      </c>
      <c r="G169" s="21" t="s">
        <v>21</v>
      </c>
      <c r="H169" s="21" t="s">
        <v>1089</v>
      </c>
      <c r="I169" s="34" t="s">
        <v>1073</v>
      </c>
      <c r="J169" s="22">
        <f t="shared" si="6"/>
        <v>202.99</v>
      </c>
      <c r="K169" s="22">
        <v>202.99</v>
      </c>
      <c r="L169" s="43">
        <f t="shared" si="7"/>
        <v>0</v>
      </c>
      <c r="M169" s="25"/>
      <c r="N169" s="31"/>
    </row>
    <row r="170" spans="2:14">
      <c r="B170" s="84" t="s">
        <v>1073</v>
      </c>
      <c r="C170" s="73" t="s">
        <v>15</v>
      </c>
      <c r="D170" s="74" t="s">
        <v>1090</v>
      </c>
      <c r="E170" s="75">
        <v>1647.65</v>
      </c>
      <c r="F170" s="74" t="s">
        <v>17</v>
      </c>
      <c r="G170" s="74" t="s">
        <v>21</v>
      </c>
      <c r="H170" s="74" t="s">
        <v>1091</v>
      </c>
      <c r="I170" s="84" t="s">
        <v>1073</v>
      </c>
      <c r="J170" s="75">
        <f t="shared" si="6"/>
        <v>1647.65</v>
      </c>
      <c r="K170" s="75">
        <v>1647.65</v>
      </c>
      <c r="L170" s="43">
        <f t="shared" si="7"/>
        <v>0</v>
      </c>
      <c r="M170" s="25"/>
      <c r="N170" s="70" t="s">
        <v>23</v>
      </c>
    </row>
    <row r="171" spans="2:14">
      <c r="B171" s="34" t="s">
        <v>1073</v>
      </c>
      <c r="C171" s="20" t="s">
        <v>15</v>
      </c>
      <c r="D171" s="21" t="s">
        <v>1092</v>
      </c>
      <c r="E171" s="22">
        <v>101.49</v>
      </c>
      <c r="F171" s="21" t="s">
        <v>17</v>
      </c>
      <c r="G171" s="21" t="s">
        <v>18</v>
      </c>
      <c r="H171" s="21" t="s">
        <v>1093</v>
      </c>
      <c r="I171" s="34" t="s">
        <v>1073</v>
      </c>
      <c r="J171" s="22">
        <f t="shared" si="6"/>
        <v>101.49</v>
      </c>
      <c r="K171" s="22">
        <v>101.49</v>
      </c>
      <c r="L171" s="43">
        <f t="shared" si="7"/>
        <v>0</v>
      </c>
      <c r="M171" s="25"/>
      <c r="N171" s="31"/>
    </row>
    <row r="172" spans="2:14">
      <c r="B172" s="34" t="s">
        <v>1094</v>
      </c>
      <c r="C172" s="20" t="s">
        <v>15</v>
      </c>
      <c r="D172" s="21" t="s">
        <v>1095</v>
      </c>
      <c r="E172" s="108" t="s">
        <v>1096</v>
      </c>
      <c r="F172" s="21" t="s">
        <v>1097</v>
      </c>
      <c r="G172" s="21" t="s">
        <v>29</v>
      </c>
      <c r="H172" s="21" t="s">
        <v>1098</v>
      </c>
      <c r="I172" s="34" t="s">
        <v>1094</v>
      </c>
      <c r="J172" s="22" t="str">
        <f t="shared" si="6"/>
        <v>21.69</v>
      </c>
      <c r="K172" s="22" t="s">
        <v>1099</v>
      </c>
      <c r="L172" s="43">
        <f t="shared" si="7"/>
        <v>-8</v>
      </c>
      <c r="M172" s="25" t="s">
        <v>1100</v>
      </c>
      <c r="N172" s="26"/>
    </row>
    <row r="173" spans="2:14">
      <c r="B173" s="34" t="s">
        <v>1101</v>
      </c>
      <c r="C173" s="20" t="s">
        <v>15</v>
      </c>
      <c r="D173" s="21" t="s">
        <v>1102</v>
      </c>
      <c r="E173" s="108" t="s">
        <v>1103</v>
      </c>
      <c r="F173" s="21" t="s">
        <v>17</v>
      </c>
      <c r="G173" s="21" t="s">
        <v>21</v>
      </c>
      <c r="H173" s="21" t="s">
        <v>1104</v>
      </c>
      <c r="I173" s="34" t="s">
        <v>1094</v>
      </c>
      <c r="J173" s="22" t="str">
        <f t="shared" si="6"/>
        <v>32.18</v>
      </c>
      <c r="K173" s="22" t="s">
        <v>1103</v>
      </c>
      <c r="L173" s="43">
        <f t="shared" si="7"/>
        <v>0</v>
      </c>
      <c r="M173" s="25"/>
      <c r="N173" s="26" t="s">
        <v>190</v>
      </c>
    </row>
    <row r="174" spans="2:14">
      <c r="B174" s="34" t="s">
        <v>1105</v>
      </c>
      <c r="C174" s="20" t="s">
        <v>15</v>
      </c>
      <c r="D174" s="21" t="s">
        <v>1106</v>
      </c>
      <c r="E174" s="108" t="s">
        <v>1107</v>
      </c>
      <c r="F174" s="21" t="s">
        <v>17</v>
      </c>
      <c r="G174" s="21" t="s">
        <v>21</v>
      </c>
      <c r="H174" s="21" t="s">
        <v>1108</v>
      </c>
      <c r="I174" s="34" t="s">
        <v>1094</v>
      </c>
      <c r="J174" s="22" t="str">
        <f t="shared" si="6"/>
        <v>72.57</v>
      </c>
      <c r="K174" s="22" t="s">
        <v>1107</v>
      </c>
      <c r="L174" s="43">
        <f t="shared" si="7"/>
        <v>0</v>
      </c>
      <c r="M174" s="25"/>
      <c r="N174" s="31"/>
    </row>
    <row r="175" spans="2:14">
      <c r="B175" s="34" t="s">
        <v>1109</v>
      </c>
      <c r="C175" s="20" t="s">
        <v>15</v>
      </c>
      <c r="D175" s="21" t="s">
        <v>1110</v>
      </c>
      <c r="E175" s="109">
        <v>173.69</v>
      </c>
      <c r="F175" s="21" t="s">
        <v>17</v>
      </c>
      <c r="G175" s="21" t="s">
        <v>21</v>
      </c>
      <c r="H175" s="21" t="s">
        <v>1111</v>
      </c>
      <c r="I175" s="34" t="s">
        <v>1094</v>
      </c>
      <c r="J175" s="22">
        <f t="shared" si="6"/>
        <v>173.69</v>
      </c>
      <c r="K175" s="22" t="s">
        <v>1112</v>
      </c>
      <c r="L175" s="43">
        <f t="shared" si="7"/>
        <v>0</v>
      </c>
      <c r="M175" s="25"/>
      <c r="N175" s="26" t="s">
        <v>23</v>
      </c>
    </row>
    <row r="176" spans="2:14">
      <c r="B176" s="34"/>
      <c r="C176" s="20" t="s">
        <v>15</v>
      </c>
      <c r="D176" s="21" t="s">
        <v>1113</v>
      </c>
      <c r="E176" s="108" t="s">
        <v>1114</v>
      </c>
      <c r="F176" s="21" t="s">
        <v>17</v>
      </c>
      <c r="G176" s="21" t="s">
        <v>21</v>
      </c>
      <c r="H176" s="21" t="s">
        <v>1115</v>
      </c>
      <c r="I176" s="34" t="s">
        <v>1094</v>
      </c>
      <c r="J176" s="22" t="str">
        <f t="shared" si="6"/>
        <v>236.98</v>
      </c>
      <c r="K176" s="22" t="s">
        <v>1114</v>
      </c>
      <c r="L176" s="43">
        <f t="shared" si="7"/>
        <v>0</v>
      </c>
      <c r="M176" s="35" t="s">
        <v>1116</v>
      </c>
      <c r="N176" s="26"/>
    </row>
    <row r="177" spans="2:14">
      <c r="B177" s="34"/>
      <c r="C177" s="20" t="s">
        <v>15</v>
      </c>
      <c r="D177" s="21" t="s">
        <v>1117</v>
      </c>
      <c r="E177" s="108" t="s">
        <v>1118</v>
      </c>
      <c r="F177" s="21" t="s">
        <v>1097</v>
      </c>
      <c r="G177" s="21" t="s">
        <v>29</v>
      </c>
      <c r="H177" s="21" t="s">
        <v>1119</v>
      </c>
      <c r="I177" s="34" t="s">
        <v>1094</v>
      </c>
      <c r="J177" s="22" t="str">
        <f t="shared" si="6"/>
        <v>168.91</v>
      </c>
      <c r="K177" s="22" t="s">
        <v>1118</v>
      </c>
      <c r="L177" s="43">
        <f t="shared" si="7"/>
        <v>0</v>
      </c>
      <c r="M177" s="25"/>
      <c r="N177" s="26"/>
    </row>
    <row r="178" spans="2:14">
      <c r="B178" s="34"/>
      <c r="C178" s="20" t="s">
        <v>15</v>
      </c>
      <c r="D178" s="21" t="s">
        <v>1120</v>
      </c>
      <c r="E178" s="108" t="s">
        <v>1121</v>
      </c>
      <c r="F178" s="21" t="s">
        <v>1097</v>
      </c>
      <c r="G178" s="21" t="s">
        <v>29</v>
      </c>
      <c r="H178" s="21" t="s">
        <v>1122</v>
      </c>
      <c r="I178" s="34" t="s">
        <v>1094</v>
      </c>
      <c r="J178" s="22" t="str">
        <f t="shared" si="6"/>
        <v>383.34</v>
      </c>
      <c r="K178" s="22" t="s">
        <v>1121</v>
      </c>
      <c r="L178" s="43">
        <f t="shared" si="7"/>
        <v>0</v>
      </c>
      <c r="M178" s="25"/>
      <c r="N178" s="31"/>
    </row>
    <row r="179" spans="2:14">
      <c r="B179" s="34"/>
      <c r="C179" s="20" t="s">
        <v>15</v>
      </c>
      <c r="D179" s="21" t="s">
        <v>1123</v>
      </c>
      <c r="E179" s="108" t="s">
        <v>1124</v>
      </c>
      <c r="F179" s="21" t="s">
        <v>17</v>
      </c>
      <c r="G179" s="21" t="s">
        <v>21</v>
      </c>
      <c r="H179" s="21" t="s">
        <v>1125</v>
      </c>
      <c r="I179" s="34" t="s">
        <v>1094</v>
      </c>
      <c r="J179" s="22" t="str">
        <f t="shared" si="6"/>
        <v>279.02</v>
      </c>
      <c r="K179" s="22" t="s">
        <v>1126</v>
      </c>
      <c r="L179" s="43">
        <f t="shared" si="7"/>
        <v>0.0199999999999818</v>
      </c>
      <c r="M179" s="25"/>
      <c r="N179" s="26"/>
    </row>
    <row r="180" spans="2:14">
      <c r="B180" s="34"/>
      <c r="C180" s="20" t="s">
        <v>15</v>
      </c>
      <c r="D180" s="21" t="s">
        <v>1127</v>
      </c>
      <c r="E180" s="108" t="s">
        <v>1128</v>
      </c>
      <c r="F180" s="21" t="s">
        <v>17</v>
      </c>
      <c r="G180" s="21" t="s">
        <v>18</v>
      </c>
      <c r="H180" s="21" t="s">
        <v>1129</v>
      </c>
      <c r="I180" s="34" t="s">
        <v>1094</v>
      </c>
      <c r="J180" s="22" t="str">
        <f t="shared" si="6"/>
        <v>207.40</v>
      </c>
      <c r="K180" s="22" t="s">
        <v>1128</v>
      </c>
      <c r="L180" s="43">
        <f t="shared" si="7"/>
        <v>0</v>
      </c>
      <c r="M180" s="25"/>
      <c r="N180" s="31"/>
    </row>
    <row r="181" spans="2:14">
      <c r="B181" s="34"/>
      <c r="C181" s="20" t="s">
        <v>15</v>
      </c>
      <c r="D181" s="21" t="s">
        <v>1130</v>
      </c>
      <c r="E181" s="108" t="s">
        <v>1131</v>
      </c>
      <c r="F181" s="21" t="s">
        <v>17</v>
      </c>
      <c r="G181" s="21" t="s">
        <v>21</v>
      </c>
      <c r="H181" s="21" t="s">
        <v>1132</v>
      </c>
      <c r="I181" s="34" t="s">
        <v>1094</v>
      </c>
      <c r="J181" s="22" t="str">
        <f t="shared" si="6"/>
        <v>319.70</v>
      </c>
      <c r="K181" s="22" t="s">
        <v>1131</v>
      </c>
      <c r="L181" s="43">
        <f t="shared" si="7"/>
        <v>0</v>
      </c>
      <c r="M181" s="25"/>
      <c r="N181" s="26"/>
    </row>
    <row r="182" spans="2:14">
      <c r="B182" s="34"/>
      <c r="C182" s="20" t="s">
        <v>15</v>
      </c>
      <c r="D182" s="21" t="s">
        <v>1133</v>
      </c>
      <c r="E182" s="108" t="s">
        <v>1134</v>
      </c>
      <c r="F182" s="21" t="s">
        <v>17</v>
      </c>
      <c r="G182" s="21" t="s">
        <v>21</v>
      </c>
      <c r="H182" s="36" t="s">
        <v>1135</v>
      </c>
      <c r="I182" s="34" t="s">
        <v>1094</v>
      </c>
      <c r="J182" s="22" t="str">
        <f t="shared" si="6"/>
        <v>280.84</v>
      </c>
      <c r="K182" s="22" t="s">
        <v>1134</v>
      </c>
      <c r="L182" s="43">
        <f t="shared" si="7"/>
        <v>0</v>
      </c>
      <c r="M182" s="25"/>
      <c r="N182" s="26"/>
    </row>
    <row r="183" spans="2:14">
      <c r="B183" s="34"/>
      <c r="C183" s="20" t="s">
        <v>15</v>
      </c>
      <c r="D183" s="21" t="s">
        <v>1136</v>
      </c>
      <c r="E183" s="108" t="s">
        <v>1137</v>
      </c>
      <c r="F183" s="21" t="s">
        <v>17</v>
      </c>
      <c r="G183" s="21" t="s">
        <v>18</v>
      </c>
      <c r="H183" s="21" t="s">
        <v>1138</v>
      </c>
      <c r="I183" s="34" t="s">
        <v>1139</v>
      </c>
      <c r="J183" s="22" t="str">
        <f t="shared" si="6"/>
        <v>1197.33</v>
      </c>
      <c r="K183" s="22" t="s">
        <v>1137</v>
      </c>
      <c r="L183" s="43">
        <f t="shared" si="7"/>
        <v>0</v>
      </c>
      <c r="M183" s="25"/>
      <c r="N183" s="26"/>
    </row>
    <row r="184" spans="2:14">
      <c r="B184" s="34"/>
      <c r="C184" s="20" t="s">
        <v>15</v>
      </c>
      <c r="D184" s="21" t="s">
        <v>1140</v>
      </c>
      <c r="E184" s="108" t="s">
        <v>1141</v>
      </c>
      <c r="F184" s="21" t="s">
        <v>17</v>
      </c>
      <c r="G184" s="21" t="s">
        <v>21</v>
      </c>
      <c r="H184" s="21" t="s">
        <v>1142</v>
      </c>
      <c r="I184" s="34" t="s">
        <v>1094</v>
      </c>
      <c r="J184" s="22" t="str">
        <f t="shared" si="6"/>
        <v>81.49</v>
      </c>
      <c r="K184" s="22" t="s">
        <v>1141</v>
      </c>
      <c r="L184" s="43">
        <f t="shared" si="7"/>
        <v>0</v>
      </c>
      <c r="M184" s="25"/>
      <c r="N184" s="26"/>
    </row>
    <row r="185" spans="2:14">
      <c r="B185" s="34"/>
      <c r="C185" s="20" t="s">
        <v>15</v>
      </c>
      <c r="D185" s="21" t="s">
        <v>1143</v>
      </c>
      <c r="E185" s="108" t="s">
        <v>1144</v>
      </c>
      <c r="F185" s="21" t="s">
        <v>1097</v>
      </c>
      <c r="G185" s="21" t="s">
        <v>29</v>
      </c>
      <c r="H185" s="21" t="s">
        <v>1145</v>
      </c>
      <c r="I185" s="34" t="s">
        <v>1139</v>
      </c>
      <c r="J185" s="22" t="str">
        <f t="shared" si="6"/>
        <v>41.97</v>
      </c>
      <c r="K185" s="22" t="s">
        <v>1144</v>
      </c>
      <c r="L185" s="43">
        <f t="shared" si="7"/>
        <v>0</v>
      </c>
      <c r="M185" s="25"/>
      <c r="N185" s="26"/>
    </row>
    <row r="186" spans="2:14">
      <c r="B186" s="34"/>
      <c r="C186" s="20" t="s">
        <v>15</v>
      </c>
      <c r="D186" s="21" t="s">
        <v>1146</v>
      </c>
      <c r="E186" s="108" t="s">
        <v>1147</v>
      </c>
      <c r="F186" s="21" t="s">
        <v>17</v>
      </c>
      <c r="G186" s="21" t="s">
        <v>18</v>
      </c>
      <c r="H186" s="21" t="s">
        <v>1148</v>
      </c>
      <c r="I186" s="34" t="s">
        <v>1139</v>
      </c>
      <c r="J186" s="22" t="str">
        <f t="shared" si="6"/>
        <v>352.71</v>
      </c>
      <c r="K186" s="22" t="s">
        <v>1147</v>
      </c>
      <c r="L186" s="43">
        <f t="shared" si="7"/>
        <v>0</v>
      </c>
      <c r="M186" s="25"/>
      <c r="N186" s="26" t="s">
        <v>23</v>
      </c>
    </row>
    <row r="187" spans="2:14">
      <c r="B187" s="34"/>
      <c r="C187" s="20" t="s">
        <v>15</v>
      </c>
      <c r="D187" s="21" t="s">
        <v>1149</v>
      </c>
      <c r="E187" s="108" t="s">
        <v>1150</v>
      </c>
      <c r="F187" s="21" t="s">
        <v>17</v>
      </c>
      <c r="G187" s="21" t="s">
        <v>21</v>
      </c>
      <c r="H187" s="21" t="s">
        <v>1151</v>
      </c>
      <c r="I187" s="34" t="s">
        <v>1139</v>
      </c>
      <c r="J187" s="22" t="str">
        <f t="shared" si="6"/>
        <v>191.67</v>
      </c>
      <c r="K187" s="22" t="s">
        <v>1150</v>
      </c>
      <c r="L187" s="43">
        <f t="shared" si="7"/>
        <v>0</v>
      </c>
      <c r="M187" s="25"/>
      <c r="N187" s="26"/>
    </row>
    <row r="188" spans="2:14">
      <c r="B188" s="34"/>
      <c r="C188" s="20" t="s">
        <v>15</v>
      </c>
      <c r="D188" s="21" t="s">
        <v>1152</v>
      </c>
      <c r="E188" s="108" t="s">
        <v>1153</v>
      </c>
      <c r="F188" s="21" t="s">
        <v>1097</v>
      </c>
      <c r="G188" s="21" t="s">
        <v>29</v>
      </c>
      <c r="H188" s="21" t="s">
        <v>1154</v>
      </c>
      <c r="I188" s="34" t="s">
        <v>1155</v>
      </c>
      <c r="J188" s="22" t="str">
        <f t="shared" si="6"/>
        <v>223.57</v>
      </c>
      <c r="K188" s="22" t="s">
        <v>1153</v>
      </c>
      <c r="L188" s="43">
        <f t="shared" si="7"/>
        <v>0</v>
      </c>
      <c r="M188" s="25"/>
      <c r="N188" s="26"/>
    </row>
    <row r="189" spans="2:14">
      <c r="B189" s="34"/>
      <c r="C189" s="20" t="s">
        <v>15</v>
      </c>
      <c r="D189" s="21" t="s">
        <v>1156</v>
      </c>
      <c r="E189" s="108" t="s">
        <v>1114</v>
      </c>
      <c r="F189" s="21" t="s">
        <v>17</v>
      </c>
      <c r="G189" s="21" t="s">
        <v>21</v>
      </c>
      <c r="H189" s="21" t="s">
        <v>1157</v>
      </c>
      <c r="I189" s="34" t="s">
        <v>1094</v>
      </c>
      <c r="J189" s="22" t="str">
        <f t="shared" si="6"/>
        <v>236.98</v>
      </c>
      <c r="K189" s="22" t="s">
        <v>1114</v>
      </c>
      <c r="L189" s="43">
        <f t="shared" si="7"/>
        <v>0</v>
      </c>
      <c r="M189" s="25"/>
      <c r="N189" s="31"/>
    </row>
    <row r="190" spans="2:14">
      <c r="B190" s="34"/>
      <c r="C190" s="20" t="s">
        <v>15</v>
      </c>
      <c r="D190" s="21" t="s">
        <v>1158</v>
      </c>
      <c r="E190" s="108" t="s">
        <v>1128</v>
      </c>
      <c r="F190" s="21" t="s">
        <v>17</v>
      </c>
      <c r="G190" s="21" t="s">
        <v>79</v>
      </c>
      <c r="H190" s="21" t="s">
        <v>1159</v>
      </c>
      <c r="I190" s="34" t="s">
        <v>1139</v>
      </c>
      <c r="J190" s="22" t="str">
        <f t="shared" si="6"/>
        <v>207.40</v>
      </c>
      <c r="K190" s="22" t="s">
        <v>1128</v>
      </c>
      <c r="L190" s="43">
        <f t="shared" si="7"/>
        <v>0</v>
      </c>
      <c r="M190" s="25"/>
      <c r="N190" s="31"/>
    </row>
    <row r="191" spans="2:14">
      <c r="B191" s="34" t="s">
        <v>1160</v>
      </c>
      <c r="C191" s="20" t="s">
        <v>15</v>
      </c>
      <c r="D191" s="21" t="s">
        <v>1161</v>
      </c>
      <c r="E191" s="22">
        <v>284.91</v>
      </c>
      <c r="F191" s="21" t="s">
        <v>29</v>
      </c>
      <c r="G191" s="21"/>
      <c r="H191" s="21" t="s">
        <v>1162</v>
      </c>
      <c r="I191" s="34" t="s">
        <v>1160</v>
      </c>
      <c r="J191" s="22">
        <f t="shared" si="6"/>
        <v>284.91</v>
      </c>
      <c r="K191" s="22">
        <v>284.91</v>
      </c>
      <c r="L191" s="43">
        <f t="shared" si="7"/>
        <v>0</v>
      </c>
      <c r="M191" s="25"/>
      <c r="N191" s="26"/>
    </row>
    <row r="192" spans="2:14">
      <c r="B192" s="84" t="s">
        <v>1160</v>
      </c>
      <c r="C192" s="73" t="s">
        <v>15</v>
      </c>
      <c r="D192" s="74" t="s">
        <v>1163</v>
      </c>
      <c r="E192" s="75">
        <v>1611.84</v>
      </c>
      <c r="F192" s="74" t="s">
        <v>17</v>
      </c>
      <c r="G192" s="74" t="s">
        <v>18</v>
      </c>
      <c r="H192" s="74" t="s">
        <v>1164</v>
      </c>
      <c r="I192" s="84" t="s">
        <v>1160</v>
      </c>
      <c r="J192" s="75">
        <f t="shared" si="6"/>
        <v>1611.84</v>
      </c>
      <c r="K192" s="75">
        <v>1611.84</v>
      </c>
      <c r="L192" s="43">
        <f t="shared" si="7"/>
        <v>0</v>
      </c>
      <c r="M192" s="25"/>
      <c r="N192" s="70" t="s">
        <v>39</v>
      </c>
    </row>
    <row r="193" spans="2:14">
      <c r="B193" s="84" t="s">
        <v>1160</v>
      </c>
      <c r="C193" s="73" t="s">
        <v>15</v>
      </c>
      <c r="D193" s="74" t="s">
        <v>1165</v>
      </c>
      <c r="E193" s="75">
        <v>1058.39</v>
      </c>
      <c r="F193" s="74" t="s">
        <v>17</v>
      </c>
      <c r="G193" s="74" t="s">
        <v>21</v>
      </c>
      <c r="H193" s="74" t="s">
        <v>1166</v>
      </c>
      <c r="I193" s="84" t="s">
        <v>1160</v>
      </c>
      <c r="J193" s="75">
        <f t="shared" si="6"/>
        <v>1058.39</v>
      </c>
      <c r="K193" s="75">
        <v>1058.39</v>
      </c>
      <c r="L193" s="43">
        <f t="shared" si="7"/>
        <v>0</v>
      </c>
      <c r="M193" s="25"/>
      <c r="N193" s="70" t="s">
        <v>602</v>
      </c>
    </row>
    <row r="194" spans="2:14">
      <c r="B194" s="84" t="s">
        <v>1167</v>
      </c>
      <c r="C194" s="73" t="s">
        <v>15</v>
      </c>
      <c r="D194" s="74" t="s">
        <v>1168</v>
      </c>
      <c r="E194" s="75">
        <v>269.3</v>
      </c>
      <c r="F194" s="74" t="s">
        <v>17</v>
      </c>
      <c r="G194" s="74" t="s">
        <v>21</v>
      </c>
      <c r="H194" s="74" t="s">
        <v>1169</v>
      </c>
      <c r="I194" s="84" t="s">
        <v>1167</v>
      </c>
      <c r="J194" s="75">
        <f t="shared" si="6"/>
        <v>269.3</v>
      </c>
      <c r="K194" s="75">
        <v>269.3</v>
      </c>
      <c r="L194" s="43">
        <f t="shared" si="7"/>
        <v>0</v>
      </c>
      <c r="M194" s="25"/>
      <c r="N194" s="70" t="s">
        <v>33</v>
      </c>
    </row>
    <row r="195" spans="2:14">
      <c r="B195" s="34" t="s">
        <v>1167</v>
      </c>
      <c r="C195" s="20" t="s">
        <v>15</v>
      </c>
      <c r="D195" s="21" t="s">
        <v>1170</v>
      </c>
      <c r="E195" s="22">
        <v>92.82</v>
      </c>
      <c r="F195" s="21" t="s">
        <v>17</v>
      </c>
      <c r="G195" s="21" t="s">
        <v>21</v>
      </c>
      <c r="H195" s="21" t="s">
        <v>1171</v>
      </c>
      <c r="I195" s="34" t="s">
        <v>1167</v>
      </c>
      <c r="J195" s="22">
        <f t="shared" si="6"/>
        <v>92.82</v>
      </c>
      <c r="K195" s="22">
        <v>92.82</v>
      </c>
      <c r="L195" s="43">
        <f t="shared" si="7"/>
        <v>0</v>
      </c>
      <c r="M195" s="25"/>
      <c r="N195" s="26"/>
    </row>
    <row r="196" spans="2:14">
      <c r="B196" s="34" t="s">
        <v>1167</v>
      </c>
      <c r="C196" s="20" t="s">
        <v>15</v>
      </c>
      <c r="D196" s="21" t="s">
        <v>1172</v>
      </c>
      <c r="E196" s="22">
        <v>65.13</v>
      </c>
      <c r="F196" s="21" t="s">
        <v>29</v>
      </c>
      <c r="G196" s="21"/>
      <c r="H196" s="21" t="s">
        <v>1173</v>
      </c>
      <c r="I196" s="34" t="s">
        <v>1167</v>
      </c>
      <c r="J196" s="22">
        <f t="shared" si="6"/>
        <v>65.13</v>
      </c>
      <c r="K196" s="22">
        <v>65.13</v>
      </c>
      <c r="L196" s="43">
        <f t="shared" si="7"/>
        <v>0</v>
      </c>
      <c r="M196" s="25"/>
      <c r="N196" s="31"/>
    </row>
    <row r="197" spans="2:14">
      <c r="B197" s="34" t="s">
        <v>1167</v>
      </c>
      <c r="C197" s="20" t="s">
        <v>15</v>
      </c>
      <c r="D197" s="21" t="s">
        <v>1174</v>
      </c>
      <c r="E197" s="22">
        <v>1155.64</v>
      </c>
      <c r="F197" s="21" t="s">
        <v>17</v>
      </c>
      <c r="G197" s="21" t="s">
        <v>18</v>
      </c>
      <c r="H197" s="21" t="s">
        <v>1175</v>
      </c>
      <c r="I197" s="34" t="s">
        <v>1167</v>
      </c>
      <c r="J197" s="22">
        <f t="shared" si="6"/>
        <v>1155.64</v>
      </c>
      <c r="K197" s="22">
        <v>1155.64</v>
      </c>
      <c r="L197" s="43">
        <f t="shared" si="7"/>
        <v>0</v>
      </c>
      <c r="M197" s="25"/>
      <c r="N197" s="31"/>
    </row>
    <row r="198" spans="2:14">
      <c r="B198" s="34" t="s">
        <v>1167</v>
      </c>
      <c r="C198" s="20" t="s">
        <v>15</v>
      </c>
      <c r="D198" s="21" t="s">
        <v>1176</v>
      </c>
      <c r="E198" s="22">
        <v>1422.51</v>
      </c>
      <c r="F198" s="21" t="s">
        <v>29</v>
      </c>
      <c r="G198" s="21"/>
      <c r="H198" s="21" t="s">
        <v>1177</v>
      </c>
      <c r="I198" s="34" t="s">
        <v>1167</v>
      </c>
      <c r="J198" s="22">
        <f t="shared" si="6"/>
        <v>1422.51</v>
      </c>
      <c r="K198" s="22">
        <v>1422.51</v>
      </c>
      <c r="L198" s="43">
        <f t="shared" si="7"/>
        <v>0</v>
      </c>
      <c r="M198" s="25"/>
      <c r="N198" s="31"/>
    </row>
    <row r="199" spans="2:14">
      <c r="B199" s="84" t="s">
        <v>1167</v>
      </c>
      <c r="C199" s="73" t="s">
        <v>15</v>
      </c>
      <c r="D199" s="74" t="s">
        <v>1178</v>
      </c>
      <c r="E199" s="75">
        <v>70.56</v>
      </c>
      <c r="F199" s="74" t="s">
        <v>17</v>
      </c>
      <c r="G199" s="74" t="s">
        <v>21</v>
      </c>
      <c r="H199" s="74" t="s">
        <v>1179</v>
      </c>
      <c r="I199" s="84" t="s">
        <v>1167</v>
      </c>
      <c r="J199" s="75">
        <f t="shared" si="6"/>
        <v>70.56</v>
      </c>
      <c r="K199" s="75">
        <v>70.56</v>
      </c>
      <c r="L199" s="43">
        <f t="shared" si="7"/>
        <v>0</v>
      </c>
      <c r="M199" s="25"/>
      <c r="N199" s="70" t="s">
        <v>33</v>
      </c>
    </row>
    <row r="200" spans="2:14">
      <c r="B200" s="85" t="s">
        <v>1167</v>
      </c>
      <c r="C200" s="57" t="s">
        <v>15</v>
      </c>
      <c r="D200" s="58" t="s">
        <v>1180</v>
      </c>
      <c r="E200" s="62">
        <v>156.18</v>
      </c>
      <c r="F200" s="58" t="s">
        <v>767</v>
      </c>
      <c r="G200" s="58"/>
      <c r="H200" s="58" t="s">
        <v>1181</v>
      </c>
      <c r="I200" s="85" t="s">
        <v>1167</v>
      </c>
      <c r="J200" s="62">
        <f t="shared" si="6"/>
        <v>156.18</v>
      </c>
      <c r="K200" s="62">
        <v>156.18</v>
      </c>
      <c r="L200" s="43">
        <f t="shared" si="7"/>
        <v>0</v>
      </c>
      <c r="M200" s="25" t="s">
        <v>1182</v>
      </c>
      <c r="N200" s="70" t="s">
        <v>56</v>
      </c>
    </row>
    <row r="201" spans="2:14">
      <c r="B201" s="84" t="s">
        <v>1183</v>
      </c>
      <c r="C201" s="73" t="s">
        <v>15</v>
      </c>
      <c r="D201" s="74" t="s">
        <v>1184</v>
      </c>
      <c r="E201" s="75">
        <v>134.77</v>
      </c>
      <c r="F201" s="74" t="s">
        <v>17</v>
      </c>
      <c r="G201" s="74" t="s">
        <v>21</v>
      </c>
      <c r="H201" s="74" t="s">
        <v>1185</v>
      </c>
      <c r="I201" s="84" t="s">
        <v>1183</v>
      </c>
      <c r="J201" s="75">
        <f t="shared" si="6"/>
        <v>134.77</v>
      </c>
      <c r="K201" s="75">
        <v>134.77</v>
      </c>
      <c r="L201" s="43">
        <f t="shared" si="7"/>
        <v>0</v>
      </c>
      <c r="M201" s="25"/>
      <c r="N201" s="70" t="s">
        <v>211</v>
      </c>
    </row>
    <row r="202" spans="2:14">
      <c r="B202" s="34" t="s">
        <v>1183</v>
      </c>
      <c r="C202" s="20" t="s">
        <v>15</v>
      </c>
      <c r="D202" s="21" t="s">
        <v>1186</v>
      </c>
      <c r="E202" s="22">
        <v>218.81</v>
      </c>
      <c r="F202" s="21" t="s">
        <v>29</v>
      </c>
      <c r="G202" s="21"/>
      <c r="H202" s="21" t="s">
        <v>1187</v>
      </c>
      <c r="I202" s="34" t="s">
        <v>1183</v>
      </c>
      <c r="J202" s="22">
        <f t="shared" si="6"/>
        <v>218.81</v>
      </c>
      <c r="K202" s="22">
        <v>218.81</v>
      </c>
      <c r="L202" s="43">
        <f t="shared" si="7"/>
        <v>0</v>
      </c>
      <c r="M202" s="25"/>
      <c r="N202" s="31"/>
    </row>
    <row r="203" spans="2:14">
      <c r="B203" s="34" t="s">
        <v>1183</v>
      </c>
      <c r="C203" s="20" t="s">
        <v>15</v>
      </c>
      <c r="D203" s="21" t="s">
        <v>1188</v>
      </c>
      <c r="E203" s="22">
        <v>112.74</v>
      </c>
      <c r="F203" s="21" t="s">
        <v>29</v>
      </c>
      <c r="G203" s="21"/>
      <c r="H203" s="21" t="s">
        <v>1189</v>
      </c>
      <c r="I203" s="34" t="s">
        <v>1183</v>
      </c>
      <c r="J203" s="22">
        <f t="shared" si="6"/>
        <v>112.74</v>
      </c>
      <c r="K203" s="22">
        <v>112.74</v>
      </c>
      <c r="L203" s="43">
        <f t="shared" si="7"/>
        <v>0</v>
      </c>
      <c r="M203" s="25"/>
      <c r="N203" s="26"/>
    </row>
    <row r="204" spans="2:14">
      <c r="B204" s="34" t="s">
        <v>1183</v>
      </c>
      <c r="C204" s="20" t="s">
        <v>15</v>
      </c>
      <c r="D204" s="21" t="s">
        <v>1190</v>
      </c>
      <c r="E204" s="22">
        <v>35.91</v>
      </c>
      <c r="F204" s="21" t="s">
        <v>29</v>
      </c>
      <c r="G204" s="21"/>
      <c r="H204" s="21" t="s">
        <v>1191</v>
      </c>
      <c r="I204" s="34" t="s">
        <v>1183</v>
      </c>
      <c r="J204" s="22">
        <f t="shared" ref="J204:J211" si="8">E204</f>
        <v>35.91</v>
      </c>
      <c r="K204" s="22">
        <v>35.91</v>
      </c>
      <c r="L204" s="43">
        <f t="shared" ref="L204:L267" si="9">J204-K204</f>
        <v>0</v>
      </c>
      <c r="M204" s="25"/>
      <c r="N204" s="26"/>
    </row>
    <row r="205" spans="2:14">
      <c r="B205" s="34" t="s">
        <v>1183</v>
      </c>
      <c r="C205" s="20" t="s">
        <v>15</v>
      </c>
      <c r="D205" s="21" t="s">
        <v>1192</v>
      </c>
      <c r="E205" s="22">
        <v>187.59</v>
      </c>
      <c r="F205" s="21" t="s">
        <v>17</v>
      </c>
      <c r="G205" s="21" t="s">
        <v>21</v>
      </c>
      <c r="H205" s="21" t="s">
        <v>1193</v>
      </c>
      <c r="I205" s="34" t="s">
        <v>1183</v>
      </c>
      <c r="J205" s="22">
        <f t="shared" si="8"/>
        <v>187.59</v>
      </c>
      <c r="K205" s="22">
        <v>187.59</v>
      </c>
      <c r="L205" s="43">
        <f t="shared" si="9"/>
        <v>0</v>
      </c>
      <c r="M205" s="25"/>
      <c r="N205" s="26"/>
    </row>
    <row r="206" spans="2:14">
      <c r="B206" s="34" t="s">
        <v>1183</v>
      </c>
      <c r="C206" s="20" t="s">
        <v>15</v>
      </c>
      <c r="D206" s="21" t="s">
        <v>1194</v>
      </c>
      <c r="E206" s="22">
        <v>526.28</v>
      </c>
      <c r="F206" s="21" t="s">
        <v>17</v>
      </c>
      <c r="G206" s="21" t="s">
        <v>18</v>
      </c>
      <c r="H206" s="34" t="s">
        <v>1195</v>
      </c>
      <c r="I206" s="34" t="s">
        <v>1183</v>
      </c>
      <c r="J206" s="22">
        <f t="shared" si="8"/>
        <v>526.28</v>
      </c>
      <c r="K206" s="22">
        <v>526.28</v>
      </c>
      <c r="L206" s="43">
        <f t="shared" si="9"/>
        <v>0</v>
      </c>
      <c r="M206" s="25"/>
      <c r="N206" s="26"/>
    </row>
    <row r="207" spans="2:14">
      <c r="B207" s="110" t="s">
        <v>1183</v>
      </c>
      <c r="C207" s="46" t="s">
        <v>15</v>
      </c>
      <c r="D207" s="49" t="s">
        <v>1196</v>
      </c>
      <c r="E207" s="90"/>
      <c r="F207" s="49" t="s">
        <v>41</v>
      </c>
      <c r="G207" s="49"/>
      <c r="H207" s="49"/>
      <c r="I207" s="110" t="s">
        <v>1183</v>
      </c>
      <c r="J207" s="90">
        <f t="shared" si="8"/>
        <v>0</v>
      </c>
      <c r="K207" s="90"/>
      <c r="L207" s="43">
        <f t="shared" si="9"/>
        <v>0</v>
      </c>
      <c r="M207" s="25"/>
      <c r="N207" s="31"/>
    </row>
    <row r="208" spans="2:14">
      <c r="B208" s="34" t="s">
        <v>1183</v>
      </c>
      <c r="C208" s="20" t="s">
        <v>15</v>
      </c>
      <c r="D208" s="21" t="s">
        <v>1197</v>
      </c>
      <c r="E208" s="22">
        <v>433.76</v>
      </c>
      <c r="F208" s="21" t="s">
        <v>17</v>
      </c>
      <c r="G208" s="21" t="s">
        <v>18</v>
      </c>
      <c r="H208" s="21" t="s">
        <v>1198</v>
      </c>
      <c r="I208" s="34" t="s">
        <v>1183</v>
      </c>
      <c r="J208" s="22">
        <f t="shared" si="8"/>
        <v>433.76</v>
      </c>
      <c r="K208" s="22">
        <v>433.76</v>
      </c>
      <c r="L208" s="43">
        <f t="shared" si="9"/>
        <v>0</v>
      </c>
      <c r="M208" s="25"/>
      <c r="N208" s="31"/>
    </row>
    <row r="209" spans="2:14">
      <c r="B209" s="34"/>
      <c r="C209" s="20" t="s">
        <v>15</v>
      </c>
      <c r="D209" s="21"/>
      <c r="E209" s="22"/>
      <c r="F209" s="21"/>
      <c r="G209" s="21"/>
      <c r="H209" s="21"/>
      <c r="I209" s="34"/>
      <c r="J209" s="22">
        <f t="shared" si="8"/>
        <v>0</v>
      </c>
      <c r="K209" s="22"/>
      <c r="L209" s="43">
        <f t="shared" si="9"/>
        <v>0</v>
      </c>
      <c r="M209" s="25"/>
      <c r="N209" s="26"/>
    </row>
    <row r="210" spans="2:14">
      <c r="B210" s="34"/>
      <c r="C210" s="20" t="s">
        <v>15</v>
      </c>
      <c r="D210" s="21"/>
      <c r="E210" s="22"/>
      <c r="F210" s="21"/>
      <c r="G210" s="21"/>
      <c r="H210" s="21"/>
      <c r="I210" s="34"/>
      <c r="J210" s="22">
        <f t="shared" si="8"/>
        <v>0</v>
      </c>
      <c r="K210" s="22"/>
      <c r="L210" s="43">
        <f t="shared" si="9"/>
        <v>0</v>
      </c>
      <c r="M210" s="25"/>
      <c r="N210" s="31"/>
    </row>
    <row r="211" spans="2:14">
      <c r="B211" s="34"/>
      <c r="C211" s="20" t="s">
        <v>15</v>
      </c>
      <c r="D211" s="21"/>
      <c r="E211" s="22"/>
      <c r="F211" s="21"/>
      <c r="G211" s="21"/>
      <c r="H211" s="21"/>
      <c r="I211" s="34"/>
      <c r="J211" s="22">
        <f t="shared" si="8"/>
        <v>0</v>
      </c>
      <c r="K211" s="22"/>
      <c r="L211" s="43">
        <f t="shared" si="9"/>
        <v>0</v>
      </c>
      <c r="M211" s="25"/>
      <c r="N211" s="31"/>
    </row>
    <row r="212" spans="2:14">
      <c r="B212" s="34"/>
      <c r="C212" s="20" t="s">
        <v>15</v>
      </c>
      <c r="D212" s="21"/>
      <c r="E212" s="22"/>
      <c r="F212" s="21"/>
      <c r="G212" s="21"/>
      <c r="H212" s="21"/>
      <c r="I212" s="34"/>
      <c r="J212" s="22">
        <f t="shared" ref="J212:J235" si="10">E212</f>
        <v>0</v>
      </c>
      <c r="K212" s="22"/>
      <c r="L212" s="43">
        <f t="shared" si="9"/>
        <v>0</v>
      </c>
      <c r="M212" s="25"/>
      <c r="N212" s="31"/>
    </row>
    <row r="213" spans="2:14">
      <c r="B213" s="34"/>
      <c r="C213" s="20" t="s">
        <v>15</v>
      </c>
      <c r="D213" s="21"/>
      <c r="E213" s="22"/>
      <c r="F213" s="21"/>
      <c r="G213" s="21"/>
      <c r="H213" s="21"/>
      <c r="I213" s="34"/>
      <c r="J213" s="22">
        <f t="shared" si="10"/>
        <v>0</v>
      </c>
      <c r="K213" s="22"/>
      <c r="L213" s="43">
        <f t="shared" si="9"/>
        <v>0</v>
      </c>
      <c r="M213" s="25"/>
      <c r="N213" s="31"/>
    </row>
    <row r="214" spans="2:14">
      <c r="B214" s="34"/>
      <c r="C214" s="20" t="s">
        <v>15</v>
      </c>
      <c r="D214" s="21"/>
      <c r="E214" s="22"/>
      <c r="F214" s="21"/>
      <c r="G214" s="21"/>
      <c r="H214" s="21"/>
      <c r="I214" s="34"/>
      <c r="J214" s="22">
        <f t="shared" si="10"/>
        <v>0</v>
      </c>
      <c r="K214" s="22"/>
      <c r="L214" s="43">
        <f t="shared" si="9"/>
        <v>0</v>
      </c>
      <c r="M214" s="25"/>
      <c r="N214" s="31"/>
    </row>
    <row r="215" spans="2:14">
      <c r="B215" s="34"/>
      <c r="C215" s="20" t="s">
        <v>15</v>
      </c>
      <c r="D215" s="21"/>
      <c r="E215" s="22"/>
      <c r="F215" s="21"/>
      <c r="G215" s="21"/>
      <c r="H215" s="21"/>
      <c r="I215" s="34"/>
      <c r="J215" s="22">
        <f t="shared" si="10"/>
        <v>0</v>
      </c>
      <c r="K215" s="22"/>
      <c r="L215" s="43">
        <f t="shared" si="9"/>
        <v>0</v>
      </c>
      <c r="M215" s="25"/>
      <c r="N215" s="31"/>
    </row>
    <row r="216" spans="2:14">
      <c r="B216" s="34"/>
      <c r="C216" s="20" t="s">
        <v>15</v>
      </c>
      <c r="D216" s="21"/>
      <c r="E216" s="22"/>
      <c r="F216" s="21"/>
      <c r="G216" s="21"/>
      <c r="H216" s="21"/>
      <c r="I216" s="34"/>
      <c r="J216" s="22">
        <f t="shared" si="10"/>
        <v>0</v>
      </c>
      <c r="K216" s="22"/>
      <c r="L216" s="43">
        <f t="shared" si="9"/>
        <v>0</v>
      </c>
      <c r="M216" s="25"/>
      <c r="N216" s="31"/>
    </row>
    <row r="217" spans="2:14">
      <c r="B217" s="34"/>
      <c r="C217" s="20" t="s">
        <v>15</v>
      </c>
      <c r="D217" s="21"/>
      <c r="E217" s="22"/>
      <c r="F217" s="21"/>
      <c r="G217" s="21"/>
      <c r="H217" s="21"/>
      <c r="I217" s="34"/>
      <c r="J217" s="22">
        <f t="shared" si="10"/>
        <v>0</v>
      </c>
      <c r="K217" s="22"/>
      <c r="L217" s="43">
        <f t="shared" si="9"/>
        <v>0</v>
      </c>
      <c r="M217" s="25"/>
      <c r="N217" s="31"/>
    </row>
    <row r="218" spans="2:14">
      <c r="B218" s="34"/>
      <c r="C218" s="20" t="s">
        <v>15</v>
      </c>
      <c r="D218" s="21"/>
      <c r="E218" s="22"/>
      <c r="F218" s="21"/>
      <c r="G218" s="21"/>
      <c r="H218" s="21"/>
      <c r="I218" s="34"/>
      <c r="J218" s="22">
        <f t="shared" si="10"/>
        <v>0</v>
      </c>
      <c r="K218" s="22"/>
      <c r="L218" s="43">
        <f t="shared" si="9"/>
        <v>0</v>
      </c>
      <c r="M218" s="25"/>
      <c r="N218" s="31"/>
    </row>
    <row r="219" spans="2:14">
      <c r="B219" s="34"/>
      <c r="C219" s="20" t="s">
        <v>15</v>
      </c>
      <c r="D219" s="21"/>
      <c r="E219" s="40"/>
      <c r="F219" s="40"/>
      <c r="G219" s="21"/>
      <c r="H219" s="40"/>
      <c r="I219" s="34"/>
      <c r="J219" s="22">
        <f t="shared" si="10"/>
        <v>0</v>
      </c>
      <c r="K219" s="40"/>
      <c r="L219" s="43">
        <f t="shared" si="9"/>
        <v>0</v>
      </c>
      <c r="M219" s="41"/>
      <c r="N219" s="42"/>
    </row>
    <row r="220" spans="2:14">
      <c r="B220" s="34"/>
      <c r="C220" s="20" t="s">
        <v>15</v>
      </c>
      <c r="D220" s="21"/>
      <c r="E220" s="40"/>
      <c r="F220" s="40"/>
      <c r="G220" s="21"/>
      <c r="H220" s="40"/>
      <c r="I220" s="34"/>
      <c r="J220" s="22">
        <f t="shared" si="10"/>
        <v>0</v>
      </c>
      <c r="K220" s="40"/>
      <c r="L220" s="43">
        <f t="shared" si="9"/>
        <v>0</v>
      </c>
      <c r="M220" s="41"/>
      <c r="N220" s="42"/>
    </row>
    <row r="221" spans="2:14">
      <c r="B221" s="34"/>
      <c r="C221" s="20" t="s">
        <v>15</v>
      </c>
      <c r="D221" s="40"/>
      <c r="E221" s="40"/>
      <c r="F221" s="21"/>
      <c r="G221" s="21"/>
      <c r="H221" s="40"/>
      <c r="I221" s="34"/>
      <c r="J221" s="22">
        <f t="shared" si="10"/>
        <v>0</v>
      </c>
      <c r="K221" s="40"/>
      <c r="L221" s="43">
        <f t="shared" si="9"/>
        <v>0</v>
      </c>
      <c r="M221" s="41"/>
      <c r="N221" s="42"/>
    </row>
    <row r="222" spans="2:14">
      <c r="B222" s="34"/>
      <c r="C222" s="20" t="s">
        <v>15</v>
      </c>
      <c r="D222" s="21"/>
      <c r="E222" s="22"/>
      <c r="F222" s="21"/>
      <c r="G222" s="21"/>
      <c r="H222" s="21"/>
      <c r="I222" s="34"/>
      <c r="J222" s="22">
        <f t="shared" si="10"/>
        <v>0</v>
      </c>
      <c r="K222" s="22"/>
      <c r="L222" s="43">
        <f t="shared" si="9"/>
        <v>0</v>
      </c>
      <c r="M222" s="25"/>
      <c r="N222" s="31"/>
    </row>
    <row r="223" spans="2:14">
      <c r="B223" s="34"/>
      <c r="C223" s="20" t="s">
        <v>15</v>
      </c>
      <c r="D223" s="21"/>
      <c r="E223" s="22"/>
      <c r="F223" s="21"/>
      <c r="G223" s="21"/>
      <c r="H223" s="21"/>
      <c r="I223" s="34"/>
      <c r="J223" s="22">
        <f t="shared" si="10"/>
        <v>0</v>
      </c>
      <c r="K223" s="22"/>
      <c r="L223" s="43">
        <f t="shared" si="9"/>
        <v>0</v>
      </c>
      <c r="M223" s="25"/>
      <c r="N223" s="31"/>
    </row>
    <row r="224" spans="2:14">
      <c r="B224" s="34"/>
      <c r="C224" s="20" t="s">
        <v>15</v>
      </c>
      <c r="D224" s="21"/>
      <c r="E224" s="22"/>
      <c r="F224" s="21"/>
      <c r="G224" s="21"/>
      <c r="H224" s="21"/>
      <c r="I224" s="34"/>
      <c r="J224" s="22">
        <f t="shared" si="10"/>
        <v>0</v>
      </c>
      <c r="K224" s="22"/>
      <c r="L224" s="43">
        <f t="shared" si="9"/>
        <v>0</v>
      </c>
      <c r="M224" s="25"/>
      <c r="N224" s="31"/>
    </row>
    <row r="225" spans="2:14">
      <c r="B225" s="34"/>
      <c r="C225" s="20" t="s">
        <v>15</v>
      </c>
      <c r="D225" s="21"/>
      <c r="E225" s="22"/>
      <c r="F225" s="21"/>
      <c r="G225" s="21"/>
      <c r="H225" s="21"/>
      <c r="I225" s="34"/>
      <c r="J225" s="22">
        <f t="shared" si="10"/>
        <v>0</v>
      </c>
      <c r="K225" s="22"/>
      <c r="L225" s="43">
        <f t="shared" si="9"/>
        <v>0</v>
      </c>
      <c r="M225" s="25"/>
      <c r="N225" s="24"/>
    </row>
    <row r="226" spans="2:14">
      <c r="B226" s="34"/>
      <c r="C226" s="20" t="s">
        <v>15</v>
      </c>
      <c r="D226" s="21"/>
      <c r="E226" s="22"/>
      <c r="F226" s="21"/>
      <c r="G226" s="21"/>
      <c r="H226" s="21"/>
      <c r="I226" s="34"/>
      <c r="J226" s="22">
        <f t="shared" si="10"/>
        <v>0</v>
      </c>
      <c r="K226" s="22"/>
      <c r="L226" s="43">
        <f t="shared" si="9"/>
        <v>0</v>
      </c>
      <c r="M226" s="25"/>
      <c r="N226" s="42"/>
    </row>
    <row r="227" spans="2:14">
      <c r="B227" s="34"/>
      <c r="C227" s="20" t="s">
        <v>15</v>
      </c>
      <c r="D227" s="21"/>
      <c r="E227" s="22"/>
      <c r="F227" s="21"/>
      <c r="G227" s="21"/>
      <c r="H227" s="21"/>
      <c r="I227" s="34"/>
      <c r="J227" s="22">
        <f t="shared" si="10"/>
        <v>0</v>
      </c>
      <c r="K227" s="22"/>
      <c r="L227" s="43">
        <f t="shared" si="9"/>
        <v>0</v>
      </c>
      <c r="M227" s="25"/>
      <c r="N227" s="42"/>
    </row>
    <row r="228" spans="2:14">
      <c r="B228" s="34"/>
      <c r="C228" s="20" t="s">
        <v>15</v>
      </c>
      <c r="D228" s="21"/>
      <c r="E228" s="22"/>
      <c r="F228" s="21"/>
      <c r="G228" s="21"/>
      <c r="H228" s="21"/>
      <c r="I228" s="34"/>
      <c r="J228" s="22">
        <f t="shared" si="10"/>
        <v>0</v>
      </c>
      <c r="K228" s="22"/>
      <c r="L228" s="43">
        <f t="shared" si="9"/>
        <v>0</v>
      </c>
      <c r="M228" s="25"/>
      <c r="N228" s="31"/>
    </row>
    <row r="229" spans="2:14">
      <c r="B229" s="34"/>
      <c r="C229" s="20" t="s">
        <v>15</v>
      </c>
      <c r="D229" s="21"/>
      <c r="E229" s="22"/>
      <c r="F229" s="21"/>
      <c r="G229" s="21"/>
      <c r="H229" s="21"/>
      <c r="I229" s="34"/>
      <c r="J229" s="22">
        <f t="shared" si="10"/>
        <v>0</v>
      </c>
      <c r="K229" s="22"/>
      <c r="L229" s="43">
        <f t="shared" si="9"/>
        <v>0</v>
      </c>
      <c r="M229" s="25"/>
      <c r="N229" s="31"/>
    </row>
    <row r="230" spans="2:14">
      <c r="B230" s="34"/>
      <c r="C230" s="20" t="s">
        <v>15</v>
      </c>
      <c r="D230" s="21"/>
      <c r="E230" s="22"/>
      <c r="F230" s="21"/>
      <c r="G230" s="21"/>
      <c r="H230" s="21"/>
      <c r="I230" s="21"/>
      <c r="J230" s="22">
        <f t="shared" si="10"/>
        <v>0</v>
      </c>
      <c r="K230" s="22"/>
      <c r="L230" s="43">
        <f t="shared" si="9"/>
        <v>0</v>
      </c>
      <c r="M230" s="25"/>
      <c r="N230" s="31"/>
    </row>
    <row r="231" spans="2:14">
      <c r="B231" s="34"/>
      <c r="C231" s="20" t="s">
        <v>15</v>
      </c>
      <c r="D231" s="21"/>
      <c r="E231" s="22"/>
      <c r="F231" s="21"/>
      <c r="G231" s="21"/>
      <c r="H231" s="21"/>
      <c r="I231" s="21"/>
      <c r="J231" s="22">
        <f t="shared" si="10"/>
        <v>0</v>
      </c>
      <c r="K231" s="22"/>
      <c r="L231" s="43">
        <f t="shared" si="9"/>
        <v>0</v>
      </c>
      <c r="M231" s="25"/>
      <c r="N231" s="24"/>
    </row>
    <row r="232" spans="2:14">
      <c r="B232" s="34"/>
      <c r="C232" s="20" t="s">
        <v>15</v>
      </c>
      <c r="D232" s="21"/>
      <c r="E232" s="22"/>
      <c r="F232" s="21"/>
      <c r="G232" s="21"/>
      <c r="H232" s="21"/>
      <c r="I232" s="21"/>
      <c r="J232" s="22">
        <f t="shared" si="10"/>
        <v>0</v>
      </c>
      <c r="K232" s="22"/>
      <c r="L232" s="43">
        <f t="shared" si="9"/>
        <v>0</v>
      </c>
      <c r="M232" s="25"/>
      <c r="N232" s="24"/>
    </row>
    <row r="233" spans="2:14">
      <c r="B233" s="34"/>
      <c r="C233" s="20" t="s">
        <v>15</v>
      </c>
      <c r="D233" s="21"/>
      <c r="E233" s="22"/>
      <c r="F233" s="21"/>
      <c r="G233" s="21"/>
      <c r="H233" s="21"/>
      <c r="I233" s="21"/>
      <c r="J233" s="22">
        <f t="shared" si="10"/>
        <v>0</v>
      </c>
      <c r="K233" s="22"/>
      <c r="L233" s="43">
        <f t="shared" si="9"/>
        <v>0</v>
      </c>
      <c r="M233" s="25"/>
      <c r="N233" s="24"/>
    </row>
    <row r="234" spans="2:14">
      <c r="B234" s="34"/>
      <c r="C234" s="20" t="s">
        <v>15</v>
      </c>
      <c r="D234" s="21"/>
      <c r="E234" s="22"/>
      <c r="F234" s="21"/>
      <c r="G234" s="21"/>
      <c r="H234" s="21"/>
      <c r="I234" s="21"/>
      <c r="J234" s="22">
        <f t="shared" si="10"/>
        <v>0</v>
      </c>
      <c r="K234" s="22"/>
      <c r="L234" s="43">
        <f t="shared" si="9"/>
        <v>0</v>
      </c>
      <c r="M234" s="25"/>
      <c r="N234" s="31"/>
    </row>
    <row r="235" spans="2:14">
      <c r="B235" s="34"/>
      <c r="C235" s="20" t="s">
        <v>15</v>
      </c>
      <c r="D235" s="21"/>
      <c r="E235" s="22"/>
      <c r="F235" s="21"/>
      <c r="G235" s="21"/>
      <c r="H235" s="21"/>
      <c r="I235" s="21"/>
      <c r="J235" s="22">
        <f t="shared" si="10"/>
        <v>0</v>
      </c>
      <c r="K235" s="22"/>
      <c r="L235" s="43">
        <f t="shared" si="9"/>
        <v>0</v>
      </c>
      <c r="M235" s="25"/>
      <c r="N235" s="24"/>
    </row>
    <row r="236" spans="2:14">
      <c r="B236" s="34"/>
      <c r="C236" s="20" t="s">
        <v>15</v>
      </c>
      <c r="D236" s="21"/>
      <c r="E236" s="22"/>
      <c r="F236" s="21"/>
      <c r="G236" s="21"/>
      <c r="H236" s="21"/>
      <c r="I236" s="21"/>
      <c r="J236" s="22">
        <f t="shared" ref="J236:J270" si="11">E236</f>
        <v>0</v>
      </c>
      <c r="K236" s="22"/>
      <c r="L236" s="43">
        <f t="shared" si="9"/>
        <v>0</v>
      </c>
      <c r="M236" s="25"/>
      <c r="N236" s="24"/>
    </row>
    <row r="237" spans="2:14">
      <c r="B237" s="34"/>
      <c r="C237" s="20" t="s">
        <v>15</v>
      </c>
      <c r="D237" s="21"/>
      <c r="E237" s="22"/>
      <c r="F237" s="21"/>
      <c r="G237" s="21"/>
      <c r="H237" s="21"/>
      <c r="I237" s="21"/>
      <c r="J237" s="22">
        <f t="shared" si="11"/>
        <v>0</v>
      </c>
      <c r="K237" s="22"/>
      <c r="L237" s="43">
        <f t="shared" si="9"/>
        <v>0</v>
      </c>
      <c r="M237" s="25"/>
      <c r="N237" s="24"/>
    </row>
    <row r="238" spans="2:14">
      <c r="B238" s="34"/>
      <c r="C238" s="20" t="s">
        <v>15</v>
      </c>
      <c r="D238" s="21"/>
      <c r="E238" s="22"/>
      <c r="F238" s="21"/>
      <c r="G238" s="21"/>
      <c r="H238" s="21"/>
      <c r="I238" s="21"/>
      <c r="J238" s="22">
        <f t="shared" si="11"/>
        <v>0</v>
      </c>
      <c r="K238" s="22"/>
      <c r="L238" s="43">
        <f t="shared" si="9"/>
        <v>0</v>
      </c>
      <c r="M238" s="25"/>
      <c r="N238" s="24"/>
    </row>
    <row r="239" spans="2:14">
      <c r="B239" s="34"/>
      <c r="C239" s="20" t="s">
        <v>15</v>
      </c>
      <c r="D239" s="21"/>
      <c r="E239" s="22"/>
      <c r="F239" s="21"/>
      <c r="G239" s="21"/>
      <c r="H239" s="21"/>
      <c r="I239" s="21"/>
      <c r="J239" s="22">
        <f t="shared" si="11"/>
        <v>0</v>
      </c>
      <c r="K239" s="22"/>
      <c r="L239" s="43">
        <f t="shared" si="9"/>
        <v>0</v>
      </c>
      <c r="M239" s="25"/>
      <c r="N239" s="24"/>
    </row>
    <row r="240" spans="2:14">
      <c r="B240" s="34"/>
      <c r="C240" s="20" t="s">
        <v>15</v>
      </c>
      <c r="D240" s="21"/>
      <c r="E240" s="22"/>
      <c r="F240" s="21"/>
      <c r="G240" s="21"/>
      <c r="H240" s="21"/>
      <c r="I240" s="21"/>
      <c r="J240" s="22">
        <f t="shared" si="11"/>
        <v>0</v>
      </c>
      <c r="K240" s="22"/>
      <c r="L240" s="43">
        <f t="shared" si="9"/>
        <v>0</v>
      </c>
      <c r="M240" s="25"/>
      <c r="N240" s="24"/>
    </row>
    <row r="241" spans="2:14">
      <c r="B241" s="34"/>
      <c r="C241" s="20" t="s">
        <v>15</v>
      </c>
      <c r="D241" s="21"/>
      <c r="E241" s="22"/>
      <c r="F241" s="21"/>
      <c r="G241" s="21"/>
      <c r="H241" s="21"/>
      <c r="I241" s="21"/>
      <c r="J241" s="22">
        <f t="shared" si="11"/>
        <v>0</v>
      </c>
      <c r="K241" s="22"/>
      <c r="L241" s="43">
        <f t="shared" si="9"/>
        <v>0</v>
      </c>
      <c r="M241" s="25"/>
      <c r="N241" s="24"/>
    </row>
    <row r="242" spans="2:14">
      <c r="B242" s="34"/>
      <c r="C242" s="20" t="s">
        <v>15</v>
      </c>
      <c r="D242" s="21"/>
      <c r="E242" s="22"/>
      <c r="F242" s="21"/>
      <c r="G242" s="21"/>
      <c r="H242" s="21"/>
      <c r="I242" s="21"/>
      <c r="J242" s="22">
        <f t="shared" si="11"/>
        <v>0</v>
      </c>
      <c r="K242" s="22"/>
      <c r="L242" s="43">
        <f t="shared" si="9"/>
        <v>0</v>
      </c>
      <c r="M242" s="25"/>
      <c r="N242" s="24"/>
    </row>
    <row r="243" spans="2:14">
      <c r="B243" s="34"/>
      <c r="C243" s="20" t="s">
        <v>15</v>
      </c>
      <c r="D243" s="21"/>
      <c r="E243" s="22"/>
      <c r="F243" s="21"/>
      <c r="G243" s="21"/>
      <c r="H243" s="21"/>
      <c r="I243" s="21"/>
      <c r="J243" s="22">
        <f t="shared" si="11"/>
        <v>0</v>
      </c>
      <c r="K243" s="22"/>
      <c r="L243" s="43">
        <f t="shared" si="9"/>
        <v>0</v>
      </c>
      <c r="M243" s="25"/>
      <c r="N243" s="24"/>
    </row>
    <row r="244" spans="2:14">
      <c r="B244" s="34"/>
      <c r="C244" s="20" t="s">
        <v>15</v>
      </c>
      <c r="D244" s="21"/>
      <c r="E244" s="22"/>
      <c r="F244" s="21"/>
      <c r="G244" s="21"/>
      <c r="H244" s="21"/>
      <c r="I244" s="21"/>
      <c r="J244" s="22">
        <f t="shared" si="11"/>
        <v>0</v>
      </c>
      <c r="K244" s="22"/>
      <c r="L244" s="43">
        <f t="shared" si="9"/>
        <v>0</v>
      </c>
      <c r="M244" s="25"/>
      <c r="N244" s="24"/>
    </row>
    <row r="245" spans="2:14">
      <c r="B245" s="34"/>
      <c r="C245" s="20" t="s">
        <v>15</v>
      </c>
      <c r="D245" s="21"/>
      <c r="E245" s="22"/>
      <c r="F245" s="21"/>
      <c r="G245" s="21"/>
      <c r="H245" s="21"/>
      <c r="I245" s="21"/>
      <c r="J245" s="22">
        <f t="shared" si="11"/>
        <v>0</v>
      </c>
      <c r="K245" s="22"/>
      <c r="L245" s="43">
        <f t="shared" si="9"/>
        <v>0</v>
      </c>
      <c r="M245" s="25"/>
      <c r="N245" s="24"/>
    </row>
    <row r="246" spans="2:14">
      <c r="B246" s="34"/>
      <c r="C246" s="20" t="s">
        <v>15</v>
      </c>
      <c r="D246" s="21"/>
      <c r="E246" s="22"/>
      <c r="F246" s="21"/>
      <c r="G246" s="21"/>
      <c r="H246" s="21"/>
      <c r="I246" s="21"/>
      <c r="J246" s="22">
        <f t="shared" si="11"/>
        <v>0</v>
      </c>
      <c r="K246" s="22"/>
      <c r="L246" s="43">
        <f t="shared" si="9"/>
        <v>0</v>
      </c>
      <c r="M246" s="25"/>
      <c r="N246" s="24"/>
    </row>
    <row r="247" spans="2:14">
      <c r="B247" s="34"/>
      <c r="C247" s="20" t="s">
        <v>15</v>
      </c>
      <c r="D247" s="21"/>
      <c r="E247" s="22"/>
      <c r="F247" s="21"/>
      <c r="G247" s="21"/>
      <c r="H247" s="21"/>
      <c r="I247" s="21"/>
      <c r="J247" s="22">
        <f t="shared" si="11"/>
        <v>0</v>
      </c>
      <c r="K247" s="22"/>
      <c r="L247" s="43">
        <f t="shared" si="9"/>
        <v>0</v>
      </c>
      <c r="M247" s="25"/>
      <c r="N247" s="24"/>
    </row>
    <row r="248" spans="2:14">
      <c r="B248" s="34"/>
      <c r="C248" s="20" t="s">
        <v>15</v>
      </c>
      <c r="D248" s="21"/>
      <c r="E248" s="22"/>
      <c r="F248" s="21"/>
      <c r="G248" s="21"/>
      <c r="H248" s="21"/>
      <c r="I248" s="21"/>
      <c r="J248" s="22">
        <f t="shared" si="11"/>
        <v>0</v>
      </c>
      <c r="K248" s="22"/>
      <c r="L248" s="43">
        <f t="shared" si="9"/>
        <v>0</v>
      </c>
      <c r="M248" s="25"/>
      <c r="N248" s="24"/>
    </row>
    <row r="249" spans="2:14">
      <c r="B249" s="34"/>
      <c r="C249" s="20" t="s">
        <v>15</v>
      </c>
      <c r="D249" s="21"/>
      <c r="E249" s="22"/>
      <c r="F249" s="21"/>
      <c r="G249" s="21"/>
      <c r="H249" s="21"/>
      <c r="I249" s="21"/>
      <c r="J249" s="22">
        <f t="shared" si="11"/>
        <v>0</v>
      </c>
      <c r="K249" s="22"/>
      <c r="L249" s="43">
        <f t="shared" si="9"/>
        <v>0</v>
      </c>
      <c r="M249" s="25"/>
      <c r="N249" s="24"/>
    </row>
    <row r="250" spans="2:14">
      <c r="B250" s="34"/>
      <c r="C250" s="20" t="s">
        <v>15</v>
      </c>
      <c r="D250" s="21"/>
      <c r="E250" s="22"/>
      <c r="F250" s="21"/>
      <c r="G250" s="21"/>
      <c r="H250" s="21"/>
      <c r="I250" s="21"/>
      <c r="J250" s="22">
        <f t="shared" si="11"/>
        <v>0</v>
      </c>
      <c r="K250" s="22"/>
      <c r="L250" s="43">
        <f t="shared" si="9"/>
        <v>0</v>
      </c>
      <c r="M250" s="25"/>
      <c r="N250" s="24"/>
    </row>
    <row r="251" spans="2:14">
      <c r="B251" s="34"/>
      <c r="C251" s="20" t="s">
        <v>15</v>
      </c>
      <c r="D251" s="21"/>
      <c r="E251" s="22"/>
      <c r="F251" s="21"/>
      <c r="G251" s="21"/>
      <c r="H251" s="21"/>
      <c r="I251" s="21"/>
      <c r="J251" s="22">
        <f t="shared" si="11"/>
        <v>0</v>
      </c>
      <c r="K251" s="22"/>
      <c r="L251" s="43">
        <f t="shared" si="9"/>
        <v>0</v>
      </c>
      <c r="M251" s="25"/>
      <c r="N251" s="24"/>
    </row>
    <row r="252" spans="2:14">
      <c r="B252" s="34"/>
      <c r="C252" s="20" t="s">
        <v>15</v>
      </c>
      <c r="D252" s="21"/>
      <c r="E252" s="22"/>
      <c r="F252" s="21"/>
      <c r="G252" s="21"/>
      <c r="H252" s="21"/>
      <c r="I252" s="21"/>
      <c r="J252" s="22">
        <f t="shared" si="11"/>
        <v>0</v>
      </c>
      <c r="K252" s="22"/>
      <c r="L252" s="43">
        <f t="shared" si="9"/>
        <v>0</v>
      </c>
      <c r="M252" s="25"/>
      <c r="N252" s="24"/>
    </row>
    <row r="253" spans="2:14">
      <c r="B253" s="34"/>
      <c r="C253" s="20" t="s">
        <v>15</v>
      </c>
      <c r="D253" s="21"/>
      <c r="E253" s="22"/>
      <c r="F253" s="21"/>
      <c r="G253" s="21"/>
      <c r="H253" s="21"/>
      <c r="I253" s="21"/>
      <c r="J253" s="22">
        <f t="shared" si="11"/>
        <v>0</v>
      </c>
      <c r="K253" s="22"/>
      <c r="L253" s="43">
        <f t="shared" si="9"/>
        <v>0</v>
      </c>
      <c r="M253" s="25"/>
      <c r="N253" s="24"/>
    </row>
    <row r="254" spans="2:14">
      <c r="B254" s="34"/>
      <c r="C254" s="20" t="s">
        <v>15</v>
      </c>
      <c r="D254" s="21"/>
      <c r="E254" s="22"/>
      <c r="F254" s="21"/>
      <c r="G254" s="21"/>
      <c r="H254" s="21"/>
      <c r="I254" s="21"/>
      <c r="J254" s="22">
        <f t="shared" si="11"/>
        <v>0</v>
      </c>
      <c r="K254" s="22"/>
      <c r="L254" s="43">
        <f t="shared" si="9"/>
        <v>0</v>
      </c>
      <c r="M254" s="25"/>
      <c r="N254" s="24"/>
    </row>
    <row r="255" spans="2:14">
      <c r="B255" s="34"/>
      <c r="C255" s="20" t="s">
        <v>15</v>
      </c>
      <c r="D255" s="21"/>
      <c r="E255" s="22"/>
      <c r="F255" s="21"/>
      <c r="G255" s="21"/>
      <c r="H255" s="21"/>
      <c r="I255" s="21"/>
      <c r="J255" s="22">
        <f t="shared" si="11"/>
        <v>0</v>
      </c>
      <c r="K255" s="22"/>
      <c r="L255" s="43">
        <f t="shared" si="9"/>
        <v>0</v>
      </c>
      <c r="M255" s="25"/>
      <c r="N255" s="24"/>
    </row>
    <row r="256" spans="2:14">
      <c r="B256" s="34"/>
      <c r="C256" s="20" t="s">
        <v>15</v>
      </c>
      <c r="D256" s="21"/>
      <c r="E256" s="22"/>
      <c r="F256" s="21"/>
      <c r="G256" s="21"/>
      <c r="H256" s="21"/>
      <c r="I256" s="21"/>
      <c r="J256" s="22">
        <f t="shared" si="11"/>
        <v>0</v>
      </c>
      <c r="K256" s="22"/>
      <c r="L256" s="43">
        <f t="shared" si="9"/>
        <v>0</v>
      </c>
      <c r="M256" s="25"/>
      <c r="N256" s="24"/>
    </row>
    <row r="257" spans="2:14">
      <c r="B257" s="34"/>
      <c r="C257" s="20" t="s">
        <v>15</v>
      </c>
      <c r="D257" s="21"/>
      <c r="E257" s="22"/>
      <c r="F257" s="21"/>
      <c r="G257" s="21"/>
      <c r="H257" s="21"/>
      <c r="I257" s="21"/>
      <c r="J257" s="22">
        <f t="shared" si="11"/>
        <v>0</v>
      </c>
      <c r="K257" s="22"/>
      <c r="L257" s="43">
        <f t="shared" si="9"/>
        <v>0</v>
      </c>
      <c r="M257" s="25"/>
      <c r="N257" s="24"/>
    </row>
    <row r="258" spans="2:14">
      <c r="B258" s="34"/>
      <c r="C258" s="20" t="s">
        <v>15</v>
      </c>
      <c r="D258" s="21"/>
      <c r="E258" s="22"/>
      <c r="F258" s="21"/>
      <c r="G258" s="21"/>
      <c r="H258" s="21"/>
      <c r="I258" s="21"/>
      <c r="J258" s="22">
        <f t="shared" si="11"/>
        <v>0</v>
      </c>
      <c r="K258" s="22"/>
      <c r="L258" s="43">
        <f t="shared" si="9"/>
        <v>0</v>
      </c>
      <c r="M258" s="25"/>
      <c r="N258" s="24"/>
    </row>
    <row r="259" spans="2:14">
      <c r="B259" s="34"/>
      <c r="C259" s="20" t="s">
        <v>15</v>
      </c>
      <c r="D259" s="21"/>
      <c r="E259" s="22"/>
      <c r="F259" s="21"/>
      <c r="G259" s="21"/>
      <c r="H259" s="21"/>
      <c r="I259" s="21"/>
      <c r="J259" s="22">
        <f t="shared" si="11"/>
        <v>0</v>
      </c>
      <c r="K259" s="22"/>
      <c r="L259" s="43">
        <f t="shared" si="9"/>
        <v>0</v>
      </c>
      <c r="M259" s="25"/>
      <c r="N259" s="24"/>
    </row>
    <row r="260" spans="2:14">
      <c r="B260" s="34"/>
      <c r="C260" s="20" t="s">
        <v>15</v>
      </c>
      <c r="D260" s="21"/>
      <c r="E260" s="22"/>
      <c r="F260" s="21"/>
      <c r="G260" s="21"/>
      <c r="H260" s="21"/>
      <c r="I260" s="21"/>
      <c r="J260" s="22">
        <f t="shared" si="11"/>
        <v>0</v>
      </c>
      <c r="K260" s="22"/>
      <c r="L260" s="43">
        <f t="shared" si="9"/>
        <v>0</v>
      </c>
      <c r="M260" s="25"/>
      <c r="N260" s="24"/>
    </row>
    <row r="261" spans="2:14">
      <c r="B261" s="34"/>
      <c r="C261" s="20" t="s">
        <v>15</v>
      </c>
      <c r="D261" s="21"/>
      <c r="E261" s="22"/>
      <c r="F261" s="21"/>
      <c r="G261" s="21"/>
      <c r="H261" s="21"/>
      <c r="I261" s="21"/>
      <c r="J261" s="22">
        <f t="shared" si="11"/>
        <v>0</v>
      </c>
      <c r="K261" s="22"/>
      <c r="L261" s="43">
        <f t="shared" si="9"/>
        <v>0</v>
      </c>
      <c r="M261" s="25"/>
      <c r="N261" s="24"/>
    </row>
    <row r="262" spans="2:14">
      <c r="B262" s="34"/>
      <c r="C262" s="20" t="s">
        <v>15</v>
      </c>
      <c r="D262" s="21"/>
      <c r="E262" s="22"/>
      <c r="F262" s="21"/>
      <c r="G262" s="21"/>
      <c r="H262" s="21"/>
      <c r="I262" s="21"/>
      <c r="J262" s="22">
        <f t="shared" si="11"/>
        <v>0</v>
      </c>
      <c r="K262" s="22"/>
      <c r="L262" s="43">
        <f t="shared" si="9"/>
        <v>0</v>
      </c>
      <c r="M262" s="25"/>
      <c r="N262" s="24"/>
    </row>
    <row r="263" spans="2:14">
      <c r="B263" s="34"/>
      <c r="C263" s="20" t="s">
        <v>15</v>
      </c>
      <c r="D263" s="21"/>
      <c r="E263" s="22"/>
      <c r="F263" s="21"/>
      <c r="G263" s="21"/>
      <c r="H263" s="21"/>
      <c r="I263" s="21"/>
      <c r="J263" s="22">
        <f t="shared" si="11"/>
        <v>0</v>
      </c>
      <c r="K263" s="22"/>
      <c r="L263" s="43">
        <f t="shared" si="9"/>
        <v>0</v>
      </c>
      <c r="M263" s="25"/>
      <c r="N263" s="24"/>
    </row>
    <row r="264" spans="2:14">
      <c r="B264" s="34"/>
      <c r="C264" s="20" t="s">
        <v>15</v>
      </c>
      <c r="D264" s="21"/>
      <c r="E264" s="22"/>
      <c r="F264" s="21"/>
      <c r="G264" s="21"/>
      <c r="H264" s="21"/>
      <c r="I264" s="21"/>
      <c r="J264" s="22">
        <f t="shared" si="11"/>
        <v>0</v>
      </c>
      <c r="K264" s="22"/>
      <c r="L264" s="43">
        <f t="shared" si="9"/>
        <v>0</v>
      </c>
      <c r="M264" s="25"/>
      <c r="N264" s="24"/>
    </row>
    <row r="265" spans="2:14">
      <c r="B265" s="34"/>
      <c r="C265" s="20" t="s">
        <v>15</v>
      </c>
      <c r="D265" s="21"/>
      <c r="E265" s="22"/>
      <c r="F265" s="21"/>
      <c r="G265" s="21"/>
      <c r="H265" s="21"/>
      <c r="I265" s="21"/>
      <c r="J265" s="22">
        <f t="shared" si="11"/>
        <v>0</v>
      </c>
      <c r="K265" s="22"/>
      <c r="L265" s="43">
        <f t="shared" si="9"/>
        <v>0</v>
      </c>
      <c r="M265" s="25"/>
      <c r="N265" s="24"/>
    </row>
    <row r="266" spans="2:14">
      <c r="B266" s="34"/>
      <c r="C266" s="20" t="s">
        <v>15</v>
      </c>
      <c r="D266" s="21"/>
      <c r="E266" s="22"/>
      <c r="F266" s="21"/>
      <c r="G266" s="21"/>
      <c r="H266" s="21"/>
      <c r="I266" s="21"/>
      <c r="J266" s="22">
        <f t="shared" si="11"/>
        <v>0</v>
      </c>
      <c r="K266" s="22"/>
      <c r="L266" s="43">
        <f t="shared" si="9"/>
        <v>0</v>
      </c>
      <c r="M266" s="25"/>
      <c r="N266" s="24"/>
    </row>
    <row r="267" spans="2:14">
      <c r="B267" s="34"/>
      <c r="C267" s="20" t="s">
        <v>15</v>
      </c>
      <c r="D267" s="21"/>
      <c r="E267" s="22"/>
      <c r="F267" s="21"/>
      <c r="G267" s="21"/>
      <c r="H267" s="21"/>
      <c r="I267" s="21"/>
      <c r="J267" s="22">
        <f t="shared" si="11"/>
        <v>0</v>
      </c>
      <c r="K267" s="22"/>
      <c r="L267" s="43">
        <f t="shared" si="9"/>
        <v>0</v>
      </c>
      <c r="M267" s="25"/>
      <c r="N267" s="24"/>
    </row>
    <row r="268" spans="2:14">
      <c r="B268" s="34"/>
      <c r="C268" s="20" t="s">
        <v>15</v>
      </c>
      <c r="D268" s="21"/>
      <c r="E268" s="22"/>
      <c r="F268" s="21"/>
      <c r="G268" s="21"/>
      <c r="H268" s="21"/>
      <c r="I268" s="21"/>
      <c r="J268" s="22">
        <f t="shared" si="11"/>
        <v>0</v>
      </c>
      <c r="K268" s="22"/>
      <c r="L268" s="43">
        <f t="shared" ref="L268:L270" si="12">J268-K268</f>
        <v>0</v>
      </c>
      <c r="M268" s="25"/>
      <c r="N268" s="24"/>
    </row>
    <row r="269" spans="2:14">
      <c r="B269" s="34"/>
      <c r="C269" s="20" t="s">
        <v>15</v>
      </c>
      <c r="D269" s="21"/>
      <c r="E269" s="22"/>
      <c r="F269" s="21"/>
      <c r="G269" s="21"/>
      <c r="H269" s="21"/>
      <c r="I269" s="21"/>
      <c r="J269" s="22">
        <f t="shared" si="11"/>
        <v>0</v>
      </c>
      <c r="K269" s="22"/>
      <c r="L269" s="43">
        <f t="shared" si="12"/>
        <v>0</v>
      </c>
      <c r="M269" s="25"/>
      <c r="N269" s="24"/>
    </row>
    <row r="270" spans="2:14">
      <c r="B270" s="44"/>
      <c r="C270" s="20" t="s">
        <v>15</v>
      </c>
      <c r="D270" s="21"/>
      <c r="E270" s="22"/>
      <c r="F270" s="21"/>
      <c r="G270" s="21"/>
      <c r="H270" s="21"/>
      <c r="I270" s="21"/>
      <c r="J270" s="22">
        <f t="shared" si="11"/>
        <v>0</v>
      </c>
      <c r="K270" s="22"/>
      <c r="L270" s="43">
        <f t="shared" si="12"/>
        <v>0</v>
      </c>
      <c r="M270" s="25"/>
      <c r="N270" s="24"/>
    </row>
    <row r="271" spans="2:14">
      <c r="B271" s="45"/>
      <c r="C271" s="20" t="s">
        <v>15</v>
      </c>
      <c r="D271" s="47"/>
      <c r="E271" s="48">
        <f>SUM(E8:E270)</f>
        <v>90511.72</v>
      </c>
      <c r="F271" s="45"/>
      <c r="G271" s="21"/>
      <c r="H271" s="50"/>
      <c r="I271" s="51" t="s">
        <v>383</v>
      </c>
      <c r="J271" s="52">
        <f>SUBTOTAL(9,J8:J270)</f>
        <v>90511.72</v>
      </c>
      <c r="K271" s="52">
        <f>SUBTOTAL(9,K8:K270)</f>
        <v>90338.03</v>
      </c>
      <c r="L271" s="53">
        <f t="shared" ref="L271" si="13">J271-K271</f>
        <v>173.690000000002</v>
      </c>
      <c r="M271" s="54"/>
      <c r="N271" s="53"/>
    </row>
    <row r="1048570" spans="2:7">
      <c r="B1048570" s="55"/>
    </row>
    <row r="1048574" spans="2:7">
      <c r="G1048574" s="23"/>
    </row>
  </sheetData>
  <autoFilter xmlns:etc="http://www.wps.cn/officeDocument/2017/etCustomData" ref="B6:N270" etc:filterBottomFollowUsedRange="0">
    <extLst/>
  </autoFilter>
  <mergeCells count="12">
    <mergeCell ref="B2:L2"/>
    <mergeCell ref="C4:D4"/>
    <mergeCell ref="G6:J6"/>
    <mergeCell ref="B6:B7"/>
    <mergeCell ref="C6:C7"/>
    <mergeCell ref="D6:D7"/>
    <mergeCell ref="E6:E7"/>
    <mergeCell ref="F6:F7"/>
    <mergeCell ref="K6:K7"/>
    <mergeCell ref="L6:L7"/>
    <mergeCell ref="M6:M7"/>
    <mergeCell ref="N6:N7"/>
  </mergeCells>
  <pageMargins left="0.7" right="0.7" top="0.75" bottom="0.75" header="0.3" footer="0.3"/>
  <pageSetup paperSize="1" orientation="portrait" horizontalDpi="360" verticalDpi="360"/>
  <headerFooter/>
  <ignoredErrors>
    <ignoredError sqref="E172:K19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048568"/>
  <sheetViews>
    <sheetView topLeftCell="C63" workbookViewId="0">
      <selection activeCell="N74" sqref="N74"/>
    </sheetView>
  </sheetViews>
  <sheetFormatPr defaultColWidth="11" defaultRowHeight="15"/>
  <cols>
    <col min="1" max="1" width="3.85714285714286" customWidth="1"/>
    <col min="2" max="2" width="11" customWidth="1"/>
    <col min="3" max="3" width="6.14285714285714" customWidth="1"/>
    <col min="4" max="4" width="14.7142857142857" customWidth="1"/>
    <col min="5" max="5" width="12.5714285714286" customWidth="1"/>
    <col min="6" max="6" width="17.7142857142857" customWidth="1"/>
    <col min="8" max="8" width="12.1428571428571" customWidth="1"/>
    <col min="9" max="9" width="12.2857142857143" customWidth="1"/>
    <col min="10" max="10" width="14.2857142857143" customWidth="1"/>
    <col min="11" max="11" width="15.5714285714286" customWidth="1"/>
    <col min="12" max="12" width="11.4285714285714" customWidth="1"/>
    <col min="13" max="13" width="24.7142857142857" customWidth="1"/>
    <col min="14" max="14" width="18" customWidth="1"/>
  </cols>
  <sheetData>
    <row r="2" ht="21" spans="2:1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5.75"/>
    <row r="4" ht="15.75" spans="2:14">
      <c r="B4" s="3" t="s">
        <v>1</v>
      </c>
      <c r="C4" s="4">
        <f ca="1">TODAY()</f>
        <v>46247</v>
      </c>
      <c r="D4" s="5"/>
      <c r="M4" t="s">
        <v>772</v>
      </c>
    </row>
    <row r="6" spans="2:14">
      <c r="B6" s="6" t="s">
        <v>2</v>
      </c>
      <c r="C6" s="6" t="s">
        <v>3</v>
      </c>
      <c r="D6" s="6" t="s">
        <v>4</v>
      </c>
      <c r="E6" s="7" t="s">
        <v>5</v>
      </c>
      <c r="F6" s="7" t="s">
        <v>6</v>
      </c>
      <c r="G6" s="8" t="s">
        <v>7</v>
      </c>
      <c r="H6" s="9"/>
      <c r="I6" s="9"/>
      <c r="J6" s="10"/>
      <c r="K6" s="11" t="s">
        <v>8</v>
      </c>
      <c r="L6" s="11" t="s">
        <v>9</v>
      </c>
      <c r="M6" s="12" t="s">
        <v>10</v>
      </c>
      <c r="N6" s="12" t="s">
        <v>11</v>
      </c>
    </row>
    <row r="7" spans="2:14">
      <c r="B7" s="13"/>
      <c r="C7" s="13"/>
      <c r="D7" s="14"/>
      <c r="E7" s="13"/>
      <c r="F7" s="13"/>
      <c r="G7" s="15" t="s">
        <v>12</v>
      </c>
      <c r="H7" s="15" t="s">
        <v>13</v>
      </c>
      <c r="I7" s="15" t="s">
        <v>2</v>
      </c>
      <c r="J7" s="16" t="s">
        <v>14</v>
      </c>
      <c r="K7" s="17"/>
      <c r="L7" s="17"/>
      <c r="M7" s="17"/>
      <c r="N7" s="18"/>
    </row>
    <row r="8" spans="2:14">
      <c r="B8" s="19">
        <v>46026</v>
      </c>
      <c r="C8" s="20" t="s">
        <v>15</v>
      </c>
      <c r="D8" s="21" t="s">
        <v>1199</v>
      </c>
      <c r="E8" s="22">
        <v>398.8</v>
      </c>
      <c r="F8" s="23" t="s">
        <v>17</v>
      </c>
      <c r="G8" s="23" t="s">
        <v>21</v>
      </c>
      <c r="H8" s="21" t="s">
        <v>1200</v>
      </c>
      <c r="I8" s="19">
        <v>46026</v>
      </c>
      <c r="J8" s="22">
        <f t="shared" ref="J8:J16" si="0">E8</f>
        <v>398.8</v>
      </c>
      <c r="K8" s="22">
        <v>398.8</v>
      </c>
      <c r="L8" s="24">
        <f t="shared" ref="L8:L16" si="1">J8-K8</f>
        <v>0</v>
      </c>
      <c r="M8" s="25"/>
      <c r="N8" s="26"/>
    </row>
    <row r="9" spans="2:14">
      <c r="B9" s="19">
        <v>46026</v>
      </c>
      <c r="C9" s="20" t="s">
        <v>15</v>
      </c>
      <c r="D9" s="21" t="s">
        <v>1201</v>
      </c>
      <c r="E9" s="27">
        <v>478.44</v>
      </c>
      <c r="F9" s="23" t="s">
        <v>17</v>
      </c>
      <c r="G9" s="23" t="s">
        <v>21</v>
      </c>
      <c r="H9" s="21" t="s">
        <v>1202</v>
      </c>
      <c r="I9" s="19">
        <v>46026</v>
      </c>
      <c r="J9" s="22">
        <f t="shared" si="0"/>
        <v>478.44</v>
      </c>
      <c r="K9" s="27">
        <v>478.44</v>
      </c>
      <c r="L9" s="24">
        <f t="shared" si="1"/>
        <v>0</v>
      </c>
      <c r="M9" s="25"/>
      <c r="N9" s="26"/>
    </row>
    <row r="10" spans="2:14">
      <c r="B10" s="19">
        <v>46026</v>
      </c>
      <c r="C10" s="20" t="s">
        <v>15</v>
      </c>
      <c r="D10" s="21" t="s">
        <v>1203</v>
      </c>
      <c r="E10" s="27">
        <v>21.91</v>
      </c>
      <c r="F10" s="23" t="s">
        <v>17</v>
      </c>
      <c r="G10" s="23" t="s">
        <v>21</v>
      </c>
      <c r="H10" s="28" t="s">
        <v>1204</v>
      </c>
      <c r="I10" s="19">
        <v>46026</v>
      </c>
      <c r="J10" s="22">
        <f t="shared" si="0"/>
        <v>21.91</v>
      </c>
      <c r="K10" s="27">
        <v>21.91</v>
      </c>
      <c r="L10" s="24">
        <f t="shared" si="1"/>
        <v>0</v>
      </c>
      <c r="M10" s="25"/>
      <c r="N10" s="26"/>
    </row>
    <row r="11" spans="2:14">
      <c r="B11" s="19">
        <v>46026</v>
      </c>
      <c r="C11" s="20" t="s">
        <v>15</v>
      </c>
      <c r="D11" s="21" t="s">
        <v>1205</v>
      </c>
      <c r="E11" s="29">
        <v>215.12</v>
      </c>
      <c r="F11" s="23" t="s">
        <v>17</v>
      </c>
      <c r="G11" s="23" t="s">
        <v>21</v>
      </c>
      <c r="H11" s="21" t="s">
        <v>1206</v>
      </c>
      <c r="I11" s="19">
        <v>46026</v>
      </c>
      <c r="J11" s="22">
        <f t="shared" si="0"/>
        <v>215.12</v>
      </c>
      <c r="K11" s="29">
        <v>215.12</v>
      </c>
      <c r="L11" s="24">
        <f t="shared" si="1"/>
        <v>0</v>
      </c>
      <c r="M11" s="25"/>
      <c r="N11" s="26"/>
    </row>
    <row r="12" spans="2:14">
      <c r="B12" s="19">
        <v>46026</v>
      </c>
      <c r="C12" s="20" t="s">
        <v>15</v>
      </c>
      <c r="D12" s="21" t="s">
        <v>1207</v>
      </c>
      <c r="E12" s="22">
        <v>21.91</v>
      </c>
      <c r="F12" s="23" t="s">
        <v>29</v>
      </c>
      <c r="G12" s="23"/>
      <c r="H12" s="23" t="s">
        <v>1208</v>
      </c>
      <c r="I12" s="19">
        <v>46026</v>
      </c>
      <c r="J12" s="22">
        <f t="shared" si="0"/>
        <v>21.91</v>
      </c>
      <c r="K12" s="22">
        <v>21.91</v>
      </c>
      <c r="L12" s="24">
        <f t="shared" si="1"/>
        <v>0</v>
      </c>
      <c r="M12" s="25"/>
      <c r="N12" s="26"/>
    </row>
    <row r="13" spans="2:14">
      <c r="B13" s="19">
        <v>46026</v>
      </c>
      <c r="C13" s="20" t="s">
        <v>15</v>
      </c>
      <c r="D13" s="21" t="s">
        <v>1209</v>
      </c>
      <c r="E13" s="27">
        <v>199.87</v>
      </c>
      <c r="F13" s="28" t="s">
        <v>17</v>
      </c>
      <c r="G13" s="23" t="s">
        <v>21</v>
      </c>
      <c r="H13" s="30" t="s">
        <v>1210</v>
      </c>
      <c r="I13" s="19">
        <v>46026</v>
      </c>
      <c r="J13" s="22">
        <f t="shared" si="0"/>
        <v>199.87</v>
      </c>
      <c r="K13" s="27">
        <v>199.87</v>
      </c>
      <c r="L13" s="24">
        <f t="shared" si="1"/>
        <v>0</v>
      </c>
      <c r="M13" s="25"/>
      <c r="N13" s="26"/>
    </row>
    <row r="14" spans="2:14">
      <c r="B14" s="19">
        <v>46026</v>
      </c>
      <c r="C14" s="20" t="s">
        <v>64</v>
      </c>
      <c r="D14" s="21" t="s">
        <v>1211</v>
      </c>
      <c r="E14" s="22">
        <v>162.66</v>
      </c>
      <c r="F14" s="28" t="s">
        <v>17</v>
      </c>
      <c r="G14" s="28" t="s">
        <v>21</v>
      </c>
      <c r="H14" s="21" t="s">
        <v>1212</v>
      </c>
      <c r="I14" s="19">
        <v>46026</v>
      </c>
      <c r="J14" s="22">
        <f t="shared" si="0"/>
        <v>162.66</v>
      </c>
      <c r="K14" s="22">
        <v>162.66</v>
      </c>
      <c r="L14" s="24">
        <f t="shared" si="1"/>
        <v>0</v>
      </c>
      <c r="M14" s="25"/>
      <c r="N14" s="26"/>
    </row>
    <row r="15" spans="2:14">
      <c r="B15" s="19">
        <v>46026</v>
      </c>
      <c r="C15" s="20" t="s">
        <v>64</v>
      </c>
      <c r="D15" s="21" t="s">
        <v>1213</v>
      </c>
      <c r="E15" s="22"/>
      <c r="F15" s="23" t="s">
        <v>471</v>
      </c>
      <c r="G15" s="28"/>
      <c r="H15" s="21"/>
      <c r="I15" s="19">
        <v>46026</v>
      </c>
      <c r="J15" s="22">
        <f t="shared" si="0"/>
        <v>0</v>
      </c>
      <c r="K15" s="22"/>
      <c r="L15" s="24">
        <f t="shared" si="1"/>
        <v>0</v>
      </c>
      <c r="M15" s="25"/>
      <c r="N15" s="26"/>
    </row>
    <row r="16" spans="2:14">
      <c r="B16" s="19">
        <v>46026</v>
      </c>
      <c r="C16" s="20" t="s">
        <v>64</v>
      </c>
      <c r="D16" s="21" t="s">
        <v>1214</v>
      </c>
      <c r="E16" s="22">
        <v>162.11</v>
      </c>
      <c r="F16" s="23" t="s">
        <v>767</v>
      </c>
      <c r="G16" s="23"/>
      <c r="H16" s="23"/>
      <c r="I16" s="19">
        <v>46026</v>
      </c>
      <c r="J16" s="22">
        <f t="shared" si="0"/>
        <v>162.11</v>
      </c>
      <c r="K16" s="22">
        <v>162.11</v>
      </c>
      <c r="L16" s="24">
        <f t="shared" si="1"/>
        <v>0</v>
      </c>
      <c r="M16" s="25"/>
      <c r="N16" s="26"/>
    </row>
    <row r="17" spans="2:14">
      <c r="B17" s="56">
        <v>46026</v>
      </c>
      <c r="C17" s="57" t="s">
        <v>15</v>
      </c>
      <c r="D17" s="58" t="s">
        <v>1215</v>
      </c>
      <c r="E17" s="62">
        <v>2039.12</v>
      </c>
      <c r="F17" s="60" t="s">
        <v>17</v>
      </c>
      <c r="G17" s="61" t="s">
        <v>21</v>
      </c>
      <c r="H17" s="58" t="s">
        <v>1216</v>
      </c>
      <c r="I17" s="56">
        <v>46026</v>
      </c>
      <c r="J17" s="62">
        <f t="shared" ref="J17:J48" si="2">E17</f>
        <v>2039.12</v>
      </c>
      <c r="K17" s="62">
        <v>2039.12</v>
      </c>
      <c r="L17" s="24">
        <f t="shared" ref="L17:L48" si="3">J17-K17</f>
        <v>0</v>
      </c>
      <c r="M17" s="25"/>
      <c r="N17" s="70" t="s">
        <v>56</v>
      </c>
    </row>
    <row r="18" spans="2:14">
      <c r="B18" s="72">
        <v>46116</v>
      </c>
      <c r="C18" s="73" t="s">
        <v>15</v>
      </c>
      <c r="D18" s="74" t="s">
        <v>1217</v>
      </c>
      <c r="E18" s="75">
        <v>525.27</v>
      </c>
      <c r="F18" s="81" t="s">
        <v>17</v>
      </c>
      <c r="G18" s="76" t="s">
        <v>18</v>
      </c>
      <c r="H18" s="74" t="s">
        <v>1218</v>
      </c>
      <c r="I18" s="72">
        <v>46057</v>
      </c>
      <c r="J18" s="75">
        <f t="shared" si="2"/>
        <v>525.27</v>
      </c>
      <c r="K18" s="75">
        <v>525.27</v>
      </c>
      <c r="L18" s="24">
        <f t="shared" si="3"/>
        <v>0</v>
      </c>
      <c r="M18" s="25"/>
      <c r="N18" s="70" t="s">
        <v>23</v>
      </c>
    </row>
    <row r="19" spans="2:14">
      <c r="B19" s="72">
        <v>46116</v>
      </c>
      <c r="C19" s="73" t="s">
        <v>15</v>
      </c>
      <c r="D19" s="74" t="s">
        <v>1219</v>
      </c>
      <c r="E19" s="75">
        <v>185.34</v>
      </c>
      <c r="F19" s="81" t="s">
        <v>29</v>
      </c>
      <c r="G19" s="76"/>
      <c r="H19" s="72" t="s">
        <v>1220</v>
      </c>
      <c r="I19" s="72">
        <v>46116</v>
      </c>
      <c r="J19" s="75">
        <f t="shared" si="2"/>
        <v>185.34</v>
      </c>
      <c r="K19" s="75">
        <v>185.34</v>
      </c>
      <c r="L19" s="24">
        <f t="shared" si="3"/>
        <v>0</v>
      </c>
      <c r="M19" s="25"/>
      <c r="N19" s="70" t="s">
        <v>224</v>
      </c>
    </row>
    <row r="20" spans="2:14">
      <c r="B20" s="19">
        <v>46116</v>
      </c>
      <c r="C20" s="20" t="s">
        <v>15</v>
      </c>
      <c r="D20" s="21" t="s">
        <v>1221</v>
      </c>
      <c r="E20" s="22">
        <v>57.39</v>
      </c>
      <c r="F20" s="23" t="s">
        <v>17</v>
      </c>
      <c r="G20" s="28" t="s">
        <v>21</v>
      </c>
      <c r="H20" s="21" t="s">
        <v>1222</v>
      </c>
      <c r="I20" s="19">
        <v>46026</v>
      </c>
      <c r="J20" s="22">
        <f t="shared" si="2"/>
        <v>57.39</v>
      </c>
      <c r="K20" s="22">
        <v>57.39</v>
      </c>
      <c r="L20" s="24">
        <f t="shared" si="3"/>
        <v>0</v>
      </c>
      <c r="M20" s="25"/>
      <c r="N20" s="26"/>
    </row>
    <row r="21" spans="2:14">
      <c r="B21" s="19">
        <v>46116</v>
      </c>
      <c r="C21" s="20" t="s">
        <v>15</v>
      </c>
      <c r="D21" s="21" t="s">
        <v>1223</v>
      </c>
      <c r="E21" s="22">
        <v>399.48</v>
      </c>
      <c r="F21" s="23" t="s">
        <v>17</v>
      </c>
      <c r="G21" s="28" t="s">
        <v>21</v>
      </c>
      <c r="H21" s="21" t="s">
        <v>1224</v>
      </c>
      <c r="I21" s="19">
        <v>46026</v>
      </c>
      <c r="J21" s="22">
        <f t="shared" si="2"/>
        <v>399.48</v>
      </c>
      <c r="K21" s="22">
        <v>399.48</v>
      </c>
      <c r="L21" s="24">
        <f t="shared" si="3"/>
        <v>0</v>
      </c>
      <c r="M21" s="25"/>
      <c r="N21" s="26"/>
    </row>
    <row r="22" spans="2:14">
      <c r="B22" s="19">
        <v>46177</v>
      </c>
      <c r="C22" s="20" t="s">
        <v>15</v>
      </c>
      <c r="D22" s="21" t="s">
        <v>1225</v>
      </c>
      <c r="E22" s="22">
        <v>700.68</v>
      </c>
      <c r="F22" s="23" t="s">
        <v>29</v>
      </c>
      <c r="G22" s="28"/>
      <c r="H22" s="21" t="s">
        <v>1226</v>
      </c>
      <c r="I22" s="19">
        <v>46177</v>
      </c>
      <c r="J22" s="22">
        <f t="shared" si="2"/>
        <v>700.68</v>
      </c>
      <c r="K22" s="22">
        <v>700.68</v>
      </c>
      <c r="L22" s="24">
        <f t="shared" si="3"/>
        <v>0</v>
      </c>
      <c r="M22" s="25"/>
      <c r="N22" s="26"/>
    </row>
    <row r="23" spans="2:14">
      <c r="B23" s="19">
        <v>46177</v>
      </c>
      <c r="C23" s="20" t="s">
        <v>15</v>
      </c>
      <c r="D23" s="21" t="s">
        <v>1227</v>
      </c>
      <c r="E23" s="22">
        <v>143.99</v>
      </c>
      <c r="F23" s="23" t="s">
        <v>17</v>
      </c>
      <c r="G23" s="28" t="s">
        <v>21</v>
      </c>
      <c r="H23" s="23" t="s">
        <v>1228</v>
      </c>
      <c r="I23" s="19">
        <v>46177</v>
      </c>
      <c r="J23" s="22">
        <f t="shared" si="2"/>
        <v>143.99</v>
      </c>
      <c r="K23" s="22">
        <v>143.99</v>
      </c>
      <c r="L23" s="24">
        <f t="shared" si="3"/>
        <v>0</v>
      </c>
      <c r="M23" s="25"/>
      <c r="N23" s="26"/>
    </row>
    <row r="24" spans="2:14">
      <c r="B24" s="72">
        <v>46177</v>
      </c>
      <c r="C24" s="73" t="s">
        <v>15</v>
      </c>
      <c r="D24" s="74" t="s">
        <v>1229</v>
      </c>
      <c r="E24" s="75">
        <v>654.16</v>
      </c>
      <c r="F24" s="74" t="s">
        <v>17</v>
      </c>
      <c r="G24" s="76" t="s">
        <v>18</v>
      </c>
      <c r="H24" s="74" t="s">
        <v>1230</v>
      </c>
      <c r="I24" s="72">
        <v>46177</v>
      </c>
      <c r="J24" s="75">
        <f t="shared" si="2"/>
        <v>654.16</v>
      </c>
      <c r="K24" s="75">
        <v>654.16</v>
      </c>
      <c r="L24" s="24">
        <f t="shared" si="3"/>
        <v>0</v>
      </c>
      <c r="M24" s="25"/>
      <c r="N24" s="70" t="s">
        <v>23</v>
      </c>
    </row>
    <row r="25" spans="2:14">
      <c r="B25" s="19">
        <v>46177</v>
      </c>
      <c r="C25" s="20" t="s">
        <v>15</v>
      </c>
      <c r="D25" s="21" t="s">
        <v>1231</v>
      </c>
      <c r="E25" s="22" t="s">
        <v>471</v>
      </c>
      <c r="F25" s="21"/>
      <c r="G25" s="28"/>
      <c r="H25" s="21"/>
      <c r="I25" s="19">
        <v>46177</v>
      </c>
      <c r="J25" s="22"/>
      <c r="K25" s="22"/>
      <c r="L25" s="24">
        <f t="shared" si="3"/>
        <v>0</v>
      </c>
      <c r="M25" s="25"/>
      <c r="N25" s="26"/>
    </row>
    <row r="26" spans="2:14">
      <c r="B26" s="72">
        <v>46177</v>
      </c>
      <c r="C26" s="73" t="s">
        <v>15</v>
      </c>
      <c r="D26" s="74" t="s">
        <v>1232</v>
      </c>
      <c r="E26" s="75">
        <v>51.9</v>
      </c>
      <c r="F26" s="74" t="s">
        <v>17</v>
      </c>
      <c r="G26" s="76" t="s">
        <v>21</v>
      </c>
      <c r="H26" s="74" t="s">
        <v>1233</v>
      </c>
      <c r="I26" s="72">
        <v>46177</v>
      </c>
      <c r="J26" s="75">
        <f t="shared" si="2"/>
        <v>51.9</v>
      </c>
      <c r="K26" s="75">
        <v>51.9</v>
      </c>
      <c r="L26" s="24">
        <f t="shared" si="3"/>
        <v>0</v>
      </c>
      <c r="M26" s="25"/>
      <c r="N26" s="70" t="s">
        <v>33</v>
      </c>
    </row>
    <row r="27" spans="2:14">
      <c r="B27" s="72">
        <v>46177</v>
      </c>
      <c r="C27" s="73" t="s">
        <v>15</v>
      </c>
      <c r="D27" s="74" t="s">
        <v>1234</v>
      </c>
      <c r="E27" s="75">
        <v>2892.87</v>
      </c>
      <c r="F27" s="74" t="s">
        <v>17</v>
      </c>
      <c r="G27" s="76" t="s">
        <v>21</v>
      </c>
      <c r="H27" s="74" t="s">
        <v>1235</v>
      </c>
      <c r="I27" s="72">
        <v>46177</v>
      </c>
      <c r="J27" s="75">
        <f t="shared" si="2"/>
        <v>2892.87</v>
      </c>
      <c r="K27" s="75">
        <v>2892.87</v>
      </c>
      <c r="L27" s="24">
        <f t="shared" si="3"/>
        <v>0</v>
      </c>
      <c r="M27" s="25"/>
      <c r="N27" s="70" t="s">
        <v>23</v>
      </c>
    </row>
    <row r="28" spans="2:14">
      <c r="B28" s="56">
        <v>46177</v>
      </c>
      <c r="C28" s="57" t="s">
        <v>15</v>
      </c>
      <c r="D28" s="58" t="s">
        <v>1236</v>
      </c>
      <c r="E28" s="62">
        <v>361.06</v>
      </c>
      <c r="F28" s="58" t="s">
        <v>17</v>
      </c>
      <c r="G28" s="60" t="s">
        <v>21</v>
      </c>
      <c r="H28" s="58" t="s">
        <v>1237</v>
      </c>
      <c r="I28" s="56" t="s">
        <v>1015</v>
      </c>
      <c r="J28" s="62">
        <f t="shared" si="2"/>
        <v>361.06</v>
      </c>
      <c r="K28" s="62">
        <v>361.06</v>
      </c>
      <c r="L28" s="24">
        <f t="shared" si="3"/>
        <v>0</v>
      </c>
      <c r="M28" s="25"/>
      <c r="N28" s="70" t="s">
        <v>56</v>
      </c>
    </row>
    <row r="29" spans="2:14">
      <c r="B29" s="19">
        <v>46207</v>
      </c>
      <c r="C29" s="20" t="s">
        <v>15</v>
      </c>
      <c r="D29" s="21" t="s">
        <v>1238</v>
      </c>
      <c r="E29" s="22">
        <v>216.38</v>
      </c>
      <c r="F29" s="21" t="s">
        <v>17</v>
      </c>
      <c r="G29" s="28" t="s">
        <v>21</v>
      </c>
      <c r="H29" s="21" t="s">
        <v>1239</v>
      </c>
      <c r="I29" s="19">
        <v>46207</v>
      </c>
      <c r="J29" s="22">
        <f t="shared" si="2"/>
        <v>216.38</v>
      </c>
      <c r="K29" s="22">
        <v>216.38</v>
      </c>
      <c r="L29" s="24">
        <f t="shared" si="3"/>
        <v>0</v>
      </c>
      <c r="M29" s="25"/>
      <c r="N29" s="26"/>
    </row>
    <row r="30" spans="2:14">
      <c r="B30" s="72">
        <v>46207</v>
      </c>
      <c r="C30" s="73" t="s">
        <v>15</v>
      </c>
      <c r="D30" s="74" t="s">
        <v>1240</v>
      </c>
      <c r="E30" s="75">
        <v>189.35</v>
      </c>
      <c r="F30" s="74" t="s">
        <v>17</v>
      </c>
      <c r="G30" s="76" t="s">
        <v>18</v>
      </c>
      <c r="H30" s="74" t="s">
        <v>1241</v>
      </c>
      <c r="I30" s="72">
        <v>46207</v>
      </c>
      <c r="J30" s="75">
        <f t="shared" si="2"/>
        <v>189.35</v>
      </c>
      <c r="K30" s="75">
        <v>189.35</v>
      </c>
      <c r="L30" s="24">
        <f t="shared" si="3"/>
        <v>0</v>
      </c>
      <c r="M30" s="25"/>
      <c r="N30" s="70" t="s">
        <v>23</v>
      </c>
    </row>
    <row r="31" spans="2:14">
      <c r="B31" s="72">
        <v>46207</v>
      </c>
      <c r="C31" s="73" t="s">
        <v>15</v>
      </c>
      <c r="D31" s="74" t="s">
        <v>1242</v>
      </c>
      <c r="E31" s="75">
        <v>207.4</v>
      </c>
      <c r="F31" s="74" t="s">
        <v>29</v>
      </c>
      <c r="G31" s="76"/>
      <c r="H31" s="74" t="s">
        <v>1243</v>
      </c>
      <c r="I31" s="72">
        <v>46207</v>
      </c>
      <c r="J31" s="75">
        <f t="shared" si="2"/>
        <v>207.4</v>
      </c>
      <c r="K31" s="75">
        <v>207.4</v>
      </c>
      <c r="L31" s="24">
        <f t="shared" si="3"/>
        <v>0</v>
      </c>
      <c r="M31" s="25"/>
      <c r="N31" s="70" t="s">
        <v>944</v>
      </c>
    </row>
    <row r="32" spans="2:14">
      <c r="B32" s="72">
        <v>46207</v>
      </c>
      <c r="C32" s="73" t="s">
        <v>15</v>
      </c>
      <c r="D32" s="74" t="s">
        <v>1244</v>
      </c>
      <c r="E32" s="75">
        <v>789.97</v>
      </c>
      <c r="F32" s="74" t="s">
        <v>17</v>
      </c>
      <c r="G32" s="74" t="s">
        <v>21</v>
      </c>
      <c r="H32" s="74" t="s">
        <v>1245</v>
      </c>
      <c r="I32" s="72">
        <v>46207</v>
      </c>
      <c r="J32" s="75">
        <f t="shared" si="2"/>
        <v>789.97</v>
      </c>
      <c r="K32" s="75">
        <v>789.97</v>
      </c>
      <c r="L32" s="24">
        <f t="shared" si="3"/>
        <v>0</v>
      </c>
      <c r="M32" s="25"/>
      <c r="N32" s="70" t="s">
        <v>23</v>
      </c>
    </row>
    <row r="33" spans="2:14">
      <c r="B33" s="72">
        <v>46207</v>
      </c>
      <c r="C33" s="73" t="s">
        <v>15</v>
      </c>
      <c r="D33" s="74" t="s">
        <v>1246</v>
      </c>
      <c r="E33" s="75">
        <v>70.56</v>
      </c>
      <c r="F33" s="74" t="s">
        <v>17</v>
      </c>
      <c r="G33" s="76" t="s">
        <v>18</v>
      </c>
      <c r="H33" s="74" t="s">
        <v>1247</v>
      </c>
      <c r="I33" s="72">
        <v>46207</v>
      </c>
      <c r="J33" s="75">
        <f t="shared" si="2"/>
        <v>70.56</v>
      </c>
      <c r="K33" s="75">
        <v>70.56</v>
      </c>
      <c r="L33" s="24">
        <f t="shared" si="3"/>
        <v>0</v>
      </c>
      <c r="M33" s="25"/>
      <c r="N33" s="70" t="s">
        <v>39</v>
      </c>
    </row>
    <row r="34" spans="2:14">
      <c r="B34" s="19">
        <v>46207</v>
      </c>
      <c r="C34" s="20" t="s">
        <v>15</v>
      </c>
      <c r="D34" s="21" t="s">
        <v>1248</v>
      </c>
      <c r="E34" s="22">
        <v>59.9</v>
      </c>
      <c r="F34" s="21" t="s">
        <v>17</v>
      </c>
      <c r="G34" s="23" t="s">
        <v>21</v>
      </c>
      <c r="H34" s="21" t="s">
        <v>1249</v>
      </c>
      <c r="I34" s="19">
        <v>46207</v>
      </c>
      <c r="J34" s="22">
        <f t="shared" si="2"/>
        <v>59.9</v>
      </c>
      <c r="K34" s="22">
        <v>59.9</v>
      </c>
      <c r="L34" s="24">
        <f t="shared" si="3"/>
        <v>0</v>
      </c>
      <c r="M34" s="25"/>
      <c r="N34" s="26"/>
    </row>
    <row r="35" spans="2:14">
      <c r="B35" s="19">
        <v>46207</v>
      </c>
      <c r="C35" s="20" t="s">
        <v>15</v>
      </c>
      <c r="D35" s="21" t="s">
        <v>1250</v>
      </c>
      <c r="E35" s="22">
        <v>199.87</v>
      </c>
      <c r="F35" s="21" t="s">
        <v>17</v>
      </c>
      <c r="G35" s="21" t="s">
        <v>21</v>
      </c>
      <c r="H35" s="21" t="s">
        <v>1251</v>
      </c>
      <c r="I35" s="19">
        <v>46207</v>
      </c>
      <c r="J35" s="22">
        <f t="shared" si="2"/>
        <v>199.87</v>
      </c>
      <c r="K35" s="22">
        <v>163.18</v>
      </c>
      <c r="L35" s="24">
        <f t="shared" si="3"/>
        <v>36.69</v>
      </c>
      <c r="M35" s="25"/>
      <c r="N35" s="26"/>
    </row>
    <row r="36" spans="2:14">
      <c r="B36" s="19"/>
      <c r="C36" s="20"/>
      <c r="D36" s="21"/>
      <c r="E36" s="22"/>
      <c r="F36" s="21" t="s">
        <v>595</v>
      </c>
      <c r="G36" s="28"/>
      <c r="H36" s="21"/>
      <c r="I36" s="19"/>
      <c r="J36" s="22">
        <f t="shared" si="2"/>
        <v>0</v>
      </c>
      <c r="K36" s="22">
        <v>36.69</v>
      </c>
      <c r="L36" s="24">
        <f t="shared" si="3"/>
        <v>-36.69</v>
      </c>
      <c r="M36" s="25"/>
      <c r="N36" s="26"/>
    </row>
    <row r="37" spans="2:14">
      <c r="B37" s="19">
        <v>46238</v>
      </c>
      <c r="C37" s="20" t="s">
        <v>15</v>
      </c>
      <c r="D37" s="21" t="s">
        <v>1252</v>
      </c>
      <c r="E37" s="22">
        <v>185.34</v>
      </c>
      <c r="F37" s="21" t="s">
        <v>17</v>
      </c>
      <c r="G37" s="23" t="s">
        <v>18</v>
      </c>
      <c r="H37" s="21" t="s">
        <v>1253</v>
      </c>
      <c r="I37" s="19">
        <v>46238</v>
      </c>
      <c r="J37" s="22">
        <f t="shared" si="2"/>
        <v>185.34</v>
      </c>
      <c r="K37" s="22">
        <v>185.34</v>
      </c>
      <c r="L37" s="24">
        <f t="shared" si="3"/>
        <v>0</v>
      </c>
      <c r="M37" s="25"/>
      <c r="N37" s="26"/>
    </row>
    <row r="38" spans="2:14">
      <c r="B38" s="72">
        <v>46238</v>
      </c>
      <c r="C38" s="73" t="s">
        <v>15</v>
      </c>
      <c r="D38" s="74" t="s">
        <v>1254</v>
      </c>
      <c r="E38" s="75">
        <v>315.16</v>
      </c>
      <c r="F38" s="74" t="s">
        <v>29</v>
      </c>
      <c r="G38" s="74"/>
      <c r="H38" s="74" t="s">
        <v>1255</v>
      </c>
      <c r="I38" s="72">
        <v>46238</v>
      </c>
      <c r="J38" s="75">
        <f t="shared" si="2"/>
        <v>315.16</v>
      </c>
      <c r="K38" s="75">
        <v>315.16</v>
      </c>
      <c r="L38" s="24">
        <f t="shared" si="3"/>
        <v>0</v>
      </c>
      <c r="M38" s="25"/>
      <c r="N38" s="70" t="s">
        <v>23</v>
      </c>
    </row>
    <row r="39" spans="2:14">
      <c r="B39" s="72">
        <v>46238</v>
      </c>
      <c r="C39" s="73" t="s">
        <v>15</v>
      </c>
      <c r="D39" s="74" t="s">
        <v>1256</v>
      </c>
      <c r="E39" s="75">
        <v>981.23</v>
      </c>
      <c r="F39" s="74" t="s">
        <v>29</v>
      </c>
      <c r="G39" s="76"/>
      <c r="H39" s="74" t="s">
        <v>1257</v>
      </c>
      <c r="I39" s="72">
        <v>46238</v>
      </c>
      <c r="J39" s="75">
        <f t="shared" si="2"/>
        <v>981.23</v>
      </c>
      <c r="K39" s="75">
        <v>981.23</v>
      </c>
      <c r="L39" s="24">
        <f t="shared" si="3"/>
        <v>0</v>
      </c>
      <c r="M39" s="25"/>
      <c r="N39" s="70" t="s">
        <v>23</v>
      </c>
    </row>
    <row r="40" spans="2:14">
      <c r="B40" s="72">
        <v>46238</v>
      </c>
      <c r="C40" s="73" t="s">
        <v>15</v>
      </c>
      <c r="D40" s="74" t="s">
        <v>1258</v>
      </c>
      <c r="E40" s="75">
        <v>65.13</v>
      </c>
      <c r="F40" s="74" t="s">
        <v>41</v>
      </c>
      <c r="G40" s="76"/>
      <c r="H40" s="74"/>
      <c r="I40" s="72">
        <v>46238</v>
      </c>
      <c r="J40" s="75">
        <f t="shared" si="2"/>
        <v>65.13</v>
      </c>
      <c r="K40" s="75">
        <v>65.13</v>
      </c>
      <c r="L40" s="24">
        <f t="shared" si="3"/>
        <v>0</v>
      </c>
      <c r="M40" s="25"/>
      <c r="N40" s="70" t="s">
        <v>23</v>
      </c>
    </row>
    <row r="41" spans="2:14">
      <c r="B41" s="72">
        <v>46238</v>
      </c>
      <c r="C41" s="73" t="s">
        <v>15</v>
      </c>
      <c r="D41" s="74" t="s">
        <v>1259</v>
      </c>
      <c r="E41" s="75">
        <v>256.04</v>
      </c>
      <c r="F41" s="74" t="s">
        <v>17</v>
      </c>
      <c r="G41" s="76" t="s">
        <v>21</v>
      </c>
      <c r="H41" s="74" t="s">
        <v>1260</v>
      </c>
      <c r="I41" s="72">
        <v>46238</v>
      </c>
      <c r="J41" s="75">
        <f t="shared" si="2"/>
        <v>256.04</v>
      </c>
      <c r="K41" s="75">
        <v>256.04</v>
      </c>
      <c r="L41" s="24">
        <f t="shared" si="3"/>
        <v>0</v>
      </c>
      <c r="M41" s="25"/>
      <c r="N41" s="70" t="s">
        <v>211</v>
      </c>
    </row>
    <row r="42" spans="2:14">
      <c r="B42" s="19">
        <v>46238</v>
      </c>
      <c r="C42" s="20" t="s">
        <v>15</v>
      </c>
      <c r="D42" s="21" t="s">
        <v>1261</v>
      </c>
      <c r="E42" s="22">
        <v>161.08</v>
      </c>
      <c r="F42" s="21" t="s">
        <v>29</v>
      </c>
      <c r="G42" s="21"/>
      <c r="H42" s="21" t="s">
        <v>1262</v>
      </c>
      <c r="I42" s="19">
        <v>46238</v>
      </c>
      <c r="J42" s="22">
        <f t="shared" si="2"/>
        <v>161.08</v>
      </c>
      <c r="K42" s="22">
        <v>161.08</v>
      </c>
      <c r="L42" s="24">
        <f t="shared" si="3"/>
        <v>0</v>
      </c>
      <c r="M42" s="25"/>
      <c r="N42" s="26"/>
    </row>
    <row r="43" spans="2:14">
      <c r="B43" s="56">
        <v>46238</v>
      </c>
      <c r="C43" s="57" t="s">
        <v>15</v>
      </c>
      <c r="D43" s="58" t="s">
        <v>1263</v>
      </c>
      <c r="E43" s="62">
        <v>1373.7</v>
      </c>
      <c r="F43" s="58" t="s">
        <v>17</v>
      </c>
      <c r="G43" s="58" t="s">
        <v>18</v>
      </c>
      <c r="H43" s="58" t="s">
        <v>1264</v>
      </c>
      <c r="I43" s="56">
        <v>46238</v>
      </c>
      <c r="J43" s="62">
        <f t="shared" si="2"/>
        <v>1373.7</v>
      </c>
      <c r="K43" s="62">
        <v>1373.7</v>
      </c>
      <c r="L43" s="24">
        <f t="shared" si="3"/>
        <v>0</v>
      </c>
      <c r="M43" s="25"/>
      <c r="N43" s="70" t="s">
        <v>56</v>
      </c>
    </row>
    <row r="44" spans="2:14">
      <c r="B44" s="19">
        <v>46269</v>
      </c>
      <c r="C44" s="20" t="s">
        <v>15</v>
      </c>
      <c r="D44" s="21" t="s">
        <v>1265</v>
      </c>
      <c r="E44" s="22">
        <v>160.34</v>
      </c>
      <c r="F44" s="21" t="s">
        <v>17</v>
      </c>
      <c r="G44" s="28" t="s">
        <v>37</v>
      </c>
      <c r="H44" s="21" t="s">
        <v>1266</v>
      </c>
      <c r="I44" s="19">
        <v>46269</v>
      </c>
      <c r="J44" s="22">
        <f t="shared" si="2"/>
        <v>160.34</v>
      </c>
      <c r="K44" s="22">
        <v>160.34</v>
      </c>
      <c r="L44" s="24">
        <f t="shared" si="3"/>
        <v>0</v>
      </c>
      <c r="M44" s="25"/>
      <c r="N44" s="26"/>
    </row>
    <row r="45" spans="2:14">
      <c r="B45" s="72">
        <v>46269</v>
      </c>
      <c r="C45" s="73" t="s">
        <v>15</v>
      </c>
      <c r="D45" s="74" t="s">
        <v>1267</v>
      </c>
      <c r="E45" s="75">
        <v>176.35</v>
      </c>
      <c r="F45" s="74" t="s">
        <v>17</v>
      </c>
      <c r="G45" s="74" t="s">
        <v>21</v>
      </c>
      <c r="H45" s="74" t="s">
        <v>1268</v>
      </c>
      <c r="I45" s="72">
        <v>46269</v>
      </c>
      <c r="J45" s="75">
        <f t="shared" si="2"/>
        <v>176.35</v>
      </c>
      <c r="K45" s="75">
        <v>176.35</v>
      </c>
      <c r="L45" s="24">
        <f t="shared" si="3"/>
        <v>0</v>
      </c>
      <c r="M45" s="25"/>
      <c r="N45" s="70" t="s">
        <v>39</v>
      </c>
    </row>
    <row r="46" spans="2:14">
      <c r="B46" s="19">
        <v>46269</v>
      </c>
      <c r="C46" s="20" t="s">
        <v>15</v>
      </c>
      <c r="D46" s="21" t="s">
        <v>1269</v>
      </c>
      <c r="E46" s="22">
        <v>270.44</v>
      </c>
      <c r="F46" s="21" t="s">
        <v>17</v>
      </c>
      <c r="G46" s="28" t="s">
        <v>18</v>
      </c>
      <c r="H46" s="21" t="s">
        <v>1270</v>
      </c>
      <c r="I46" s="19">
        <v>46269</v>
      </c>
      <c r="J46" s="22">
        <f t="shared" si="2"/>
        <v>270.44</v>
      </c>
      <c r="K46" s="22">
        <v>270.44</v>
      </c>
      <c r="L46" s="24">
        <f t="shared" si="3"/>
        <v>0</v>
      </c>
      <c r="M46" s="25"/>
      <c r="N46" s="26"/>
    </row>
    <row r="47" spans="2:14">
      <c r="B47" s="19">
        <v>46269</v>
      </c>
      <c r="C47" s="20" t="s">
        <v>15</v>
      </c>
      <c r="D47" s="21" t="s">
        <v>1271</v>
      </c>
      <c r="E47" s="22">
        <v>490.42</v>
      </c>
      <c r="F47" s="21" t="s">
        <v>29</v>
      </c>
      <c r="G47" s="21"/>
      <c r="H47" s="21" t="s">
        <v>1272</v>
      </c>
      <c r="I47" s="19">
        <v>46269</v>
      </c>
      <c r="J47" s="22">
        <f t="shared" si="2"/>
        <v>490.42</v>
      </c>
      <c r="K47" s="22">
        <v>490.42</v>
      </c>
      <c r="L47" s="24">
        <f t="shared" si="3"/>
        <v>0</v>
      </c>
      <c r="M47" s="25"/>
      <c r="N47" s="26"/>
    </row>
    <row r="48" spans="2:14">
      <c r="B48" s="19">
        <v>46269</v>
      </c>
      <c r="C48" s="20" t="s">
        <v>15</v>
      </c>
      <c r="D48" s="21" t="s">
        <v>1273</v>
      </c>
      <c r="E48" s="22">
        <v>399.48</v>
      </c>
      <c r="F48" s="21" t="s">
        <v>17</v>
      </c>
      <c r="G48" s="21" t="s">
        <v>21</v>
      </c>
      <c r="H48" s="21" t="s">
        <v>1274</v>
      </c>
      <c r="I48" s="19">
        <v>46269</v>
      </c>
      <c r="J48" s="22">
        <f t="shared" si="2"/>
        <v>399.48</v>
      </c>
      <c r="K48" s="22">
        <v>399.48</v>
      </c>
      <c r="L48" s="24">
        <f t="shared" si="3"/>
        <v>0</v>
      </c>
      <c r="M48" s="25"/>
      <c r="N48" s="26"/>
    </row>
    <row r="49" spans="2:14">
      <c r="B49" s="72">
        <v>46269</v>
      </c>
      <c r="C49" s="73" t="s">
        <v>15</v>
      </c>
      <c r="D49" s="74" t="s">
        <v>1275</v>
      </c>
      <c r="E49" s="75">
        <v>1344.88</v>
      </c>
      <c r="F49" s="74" t="s">
        <v>17</v>
      </c>
      <c r="G49" s="74" t="s">
        <v>21</v>
      </c>
      <c r="H49" s="74" t="s">
        <v>1276</v>
      </c>
      <c r="I49" s="72">
        <v>46269</v>
      </c>
      <c r="J49" s="75">
        <f t="shared" ref="J49:J80" si="4">E49</f>
        <v>1344.88</v>
      </c>
      <c r="K49" s="75">
        <v>1344.88</v>
      </c>
      <c r="L49" s="24">
        <f t="shared" ref="L49:L80" si="5">J49-K49</f>
        <v>0</v>
      </c>
      <c r="M49" s="25"/>
      <c r="N49" s="70" t="s">
        <v>23</v>
      </c>
    </row>
    <row r="50" spans="2:14">
      <c r="B50" s="56">
        <v>46269</v>
      </c>
      <c r="C50" s="57" t="s">
        <v>15</v>
      </c>
      <c r="D50" s="58" t="s">
        <v>1277</v>
      </c>
      <c r="E50" s="62">
        <v>3768.64</v>
      </c>
      <c r="F50" s="58" t="s">
        <v>17</v>
      </c>
      <c r="G50" s="58" t="s">
        <v>21</v>
      </c>
      <c r="H50" s="58" t="s">
        <v>1278</v>
      </c>
      <c r="I50" s="56">
        <v>46269</v>
      </c>
      <c r="J50" s="62">
        <f t="shared" si="4"/>
        <v>3768.64</v>
      </c>
      <c r="K50" s="62">
        <v>3768.64</v>
      </c>
      <c r="L50" s="24">
        <f t="shared" si="5"/>
        <v>0</v>
      </c>
      <c r="M50" s="25"/>
      <c r="N50" s="70" t="s">
        <v>56</v>
      </c>
    </row>
    <row r="51" spans="2:14">
      <c r="B51" s="72">
        <v>46299</v>
      </c>
      <c r="C51" s="73" t="s">
        <v>15</v>
      </c>
      <c r="D51" s="74" t="s">
        <v>1279</v>
      </c>
      <c r="E51" s="75">
        <v>654.16</v>
      </c>
      <c r="F51" s="74" t="s">
        <v>29</v>
      </c>
      <c r="G51" s="81"/>
      <c r="H51" s="74" t="s">
        <v>1280</v>
      </c>
      <c r="I51" s="72">
        <v>46299</v>
      </c>
      <c r="J51" s="75">
        <f t="shared" si="4"/>
        <v>654.16</v>
      </c>
      <c r="K51" s="75">
        <v>654.16</v>
      </c>
      <c r="L51" s="24">
        <f t="shared" si="5"/>
        <v>0</v>
      </c>
      <c r="M51" s="25"/>
      <c r="N51" s="70" t="s">
        <v>23</v>
      </c>
    </row>
    <row r="52" spans="2:14">
      <c r="B52" s="72">
        <v>46299</v>
      </c>
      <c r="C52" s="73" t="s">
        <v>15</v>
      </c>
      <c r="D52" s="74" t="s">
        <v>1281</v>
      </c>
      <c r="E52" s="75">
        <v>813.48</v>
      </c>
      <c r="F52" s="87" t="s">
        <v>17</v>
      </c>
      <c r="G52" s="81" t="s">
        <v>21</v>
      </c>
      <c r="H52" s="74" t="s">
        <v>1282</v>
      </c>
      <c r="I52" s="72">
        <v>46299</v>
      </c>
      <c r="J52" s="75">
        <f t="shared" si="4"/>
        <v>813.48</v>
      </c>
      <c r="K52" s="75">
        <v>813.48</v>
      </c>
      <c r="L52" s="24">
        <f t="shared" si="5"/>
        <v>0</v>
      </c>
      <c r="M52" s="25"/>
      <c r="N52" s="70" t="s">
        <v>33</v>
      </c>
    </row>
    <row r="53" spans="2:14">
      <c r="B53" s="19">
        <v>46299</v>
      </c>
      <c r="C53" s="20" t="s">
        <v>15</v>
      </c>
      <c r="D53" s="21" t="s">
        <v>1283</v>
      </c>
      <c r="E53" s="22">
        <v>178.65</v>
      </c>
      <c r="F53" s="21" t="s">
        <v>29</v>
      </c>
      <c r="G53" s="21"/>
      <c r="H53" s="21" t="s">
        <v>1284</v>
      </c>
      <c r="I53" s="19">
        <v>46299</v>
      </c>
      <c r="J53" s="22">
        <f t="shared" si="4"/>
        <v>178.65</v>
      </c>
      <c r="K53" s="22">
        <v>178.65</v>
      </c>
      <c r="L53" s="24">
        <f t="shared" si="5"/>
        <v>0</v>
      </c>
      <c r="M53" s="25"/>
      <c r="N53" s="26"/>
    </row>
    <row r="54" spans="2:14">
      <c r="B54" s="19">
        <v>46299</v>
      </c>
      <c r="C54" s="20" t="s">
        <v>15</v>
      </c>
      <c r="D54" s="21" t="s">
        <v>1285</v>
      </c>
      <c r="E54" s="22">
        <v>414.58</v>
      </c>
      <c r="F54" s="21" t="s">
        <v>29</v>
      </c>
      <c r="G54" s="21"/>
      <c r="H54" s="21" t="s">
        <v>1286</v>
      </c>
      <c r="I54" s="19">
        <v>46299</v>
      </c>
      <c r="J54" s="22">
        <f t="shared" si="4"/>
        <v>414.58</v>
      </c>
      <c r="K54" s="22">
        <v>414.58</v>
      </c>
      <c r="L54" s="24">
        <f t="shared" si="5"/>
        <v>0</v>
      </c>
      <c r="M54" s="25"/>
      <c r="N54" s="26"/>
    </row>
    <row r="55" spans="2:14">
      <c r="B55" s="19">
        <v>46299</v>
      </c>
      <c r="C55" s="20" t="s">
        <v>15</v>
      </c>
      <c r="D55" s="21" t="s">
        <v>1287</v>
      </c>
      <c r="E55" s="22">
        <v>1388.8</v>
      </c>
      <c r="F55" s="21" t="s">
        <v>17</v>
      </c>
      <c r="G55" s="21" t="s">
        <v>18</v>
      </c>
      <c r="H55" s="21" t="s">
        <v>1288</v>
      </c>
      <c r="I55" s="19">
        <v>46299</v>
      </c>
      <c r="J55" s="22">
        <f t="shared" si="4"/>
        <v>1388.8</v>
      </c>
      <c r="K55" s="22">
        <v>1388.8</v>
      </c>
      <c r="L55" s="24">
        <f t="shared" si="5"/>
        <v>0</v>
      </c>
      <c r="M55" s="25"/>
      <c r="N55" s="26"/>
    </row>
    <row r="56" spans="2:14">
      <c r="B56" s="72">
        <v>46299</v>
      </c>
      <c r="C56" s="73" t="s">
        <v>15</v>
      </c>
      <c r="D56" s="74" t="s">
        <v>1289</v>
      </c>
      <c r="E56" s="75">
        <v>271.66</v>
      </c>
      <c r="F56" s="74" t="s">
        <v>17</v>
      </c>
      <c r="G56" s="74" t="s">
        <v>21</v>
      </c>
      <c r="H56" s="74" t="s">
        <v>1290</v>
      </c>
      <c r="I56" s="72">
        <v>46299</v>
      </c>
      <c r="J56" s="75">
        <f t="shared" si="4"/>
        <v>271.66</v>
      </c>
      <c r="K56" s="75">
        <v>271.66</v>
      </c>
      <c r="L56" s="24">
        <f t="shared" si="5"/>
        <v>0</v>
      </c>
      <c r="M56" s="25"/>
      <c r="N56" s="70" t="s">
        <v>23</v>
      </c>
    </row>
    <row r="57" spans="2:14">
      <c r="B57" s="72">
        <v>46299</v>
      </c>
      <c r="C57" s="73" t="s">
        <v>15</v>
      </c>
      <c r="D57" s="74" t="s">
        <v>1291</v>
      </c>
      <c r="E57" s="75">
        <v>105.05</v>
      </c>
      <c r="F57" s="74" t="s">
        <v>17</v>
      </c>
      <c r="G57" s="81" t="s">
        <v>18</v>
      </c>
      <c r="H57" s="74" t="s">
        <v>1292</v>
      </c>
      <c r="I57" s="72">
        <v>46299</v>
      </c>
      <c r="J57" s="75">
        <f t="shared" si="4"/>
        <v>105.05</v>
      </c>
      <c r="K57" s="75">
        <v>105.05</v>
      </c>
      <c r="L57" s="24">
        <f t="shared" si="5"/>
        <v>0</v>
      </c>
      <c r="M57" s="25"/>
      <c r="N57" s="70" t="s">
        <v>23</v>
      </c>
    </row>
    <row r="58" spans="2:14">
      <c r="B58" s="72">
        <v>46299</v>
      </c>
      <c r="C58" s="73" t="s">
        <v>15</v>
      </c>
      <c r="D58" s="74" t="s">
        <v>1293</v>
      </c>
      <c r="E58" s="75">
        <v>1534.41</v>
      </c>
      <c r="F58" s="74" t="s">
        <v>17</v>
      </c>
      <c r="G58" s="76" t="s">
        <v>21</v>
      </c>
      <c r="H58" s="74" t="s">
        <v>1294</v>
      </c>
      <c r="I58" s="72">
        <v>46299</v>
      </c>
      <c r="J58" s="75">
        <f t="shared" si="4"/>
        <v>1534.41</v>
      </c>
      <c r="K58" s="75">
        <v>1534.41</v>
      </c>
      <c r="L58" s="24">
        <f t="shared" si="5"/>
        <v>0</v>
      </c>
      <c r="M58" s="25"/>
      <c r="N58" s="70" t="s">
        <v>33</v>
      </c>
    </row>
    <row r="59" spans="2:14">
      <c r="B59" s="56">
        <v>46299</v>
      </c>
      <c r="C59" s="57" t="s">
        <v>15</v>
      </c>
      <c r="D59" s="58" t="s">
        <v>1295</v>
      </c>
      <c r="E59" s="62">
        <v>780.22</v>
      </c>
      <c r="F59" s="58" t="s">
        <v>29</v>
      </c>
      <c r="G59" s="58"/>
      <c r="H59" s="58" t="s">
        <v>1296</v>
      </c>
      <c r="I59" s="56">
        <v>46299</v>
      </c>
      <c r="J59" s="62">
        <f t="shared" si="4"/>
        <v>780.22</v>
      </c>
      <c r="K59" s="62">
        <v>780.22</v>
      </c>
      <c r="L59" s="24">
        <f t="shared" si="5"/>
        <v>0</v>
      </c>
      <c r="M59" s="25"/>
      <c r="N59" s="70" t="s">
        <v>56</v>
      </c>
    </row>
    <row r="60" spans="2:14">
      <c r="B60" s="64">
        <v>46299</v>
      </c>
      <c r="C60" s="65" t="s">
        <v>15</v>
      </c>
      <c r="D60" s="66" t="s">
        <v>1297</v>
      </c>
      <c r="E60" s="67">
        <v>181.69</v>
      </c>
      <c r="F60" s="66" t="s">
        <v>17</v>
      </c>
      <c r="G60" s="88" t="s">
        <v>21</v>
      </c>
      <c r="H60" s="66" t="s">
        <v>1298</v>
      </c>
      <c r="I60" s="64">
        <v>46299</v>
      </c>
      <c r="J60" s="67">
        <f t="shared" si="4"/>
        <v>181.69</v>
      </c>
      <c r="K60" s="67">
        <v>181.69</v>
      </c>
      <c r="L60" s="24">
        <f t="shared" si="5"/>
        <v>0</v>
      </c>
      <c r="M60" s="25"/>
      <c r="N60" s="70" t="s">
        <v>366</v>
      </c>
    </row>
    <row r="61" spans="2:14">
      <c r="B61" s="19">
        <v>46330</v>
      </c>
      <c r="C61" s="20" t="s">
        <v>15</v>
      </c>
      <c r="D61" s="21" t="s">
        <v>1299</v>
      </c>
      <c r="E61" s="22">
        <v>83.15</v>
      </c>
      <c r="F61" s="21" t="s">
        <v>17</v>
      </c>
      <c r="G61" s="23" t="s">
        <v>18</v>
      </c>
      <c r="H61" s="21" t="s">
        <v>1300</v>
      </c>
      <c r="I61" s="19">
        <v>46330</v>
      </c>
      <c r="J61" s="22">
        <f t="shared" si="4"/>
        <v>83.15</v>
      </c>
      <c r="K61" s="22">
        <v>83.15</v>
      </c>
      <c r="L61" s="24">
        <f t="shared" si="5"/>
        <v>0</v>
      </c>
      <c r="M61" s="25"/>
      <c r="N61" s="26"/>
    </row>
    <row r="62" spans="2:14">
      <c r="B62" s="19">
        <v>46330</v>
      </c>
      <c r="C62" s="20" t="s">
        <v>15</v>
      </c>
      <c r="D62" s="21" t="s">
        <v>1301</v>
      </c>
      <c r="E62" s="22">
        <v>413.7</v>
      </c>
      <c r="F62" s="21" t="s">
        <v>29</v>
      </c>
      <c r="G62" s="23"/>
      <c r="H62" s="21" t="s">
        <v>1302</v>
      </c>
      <c r="I62" s="19">
        <v>46330</v>
      </c>
      <c r="J62" s="22">
        <f t="shared" si="4"/>
        <v>413.7</v>
      </c>
      <c r="K62" s="22">
        <v>413.7</v>
      </c>
      <c r="L62" s="24">
        <f t="shared" si="5"/>
        <v>0</v>
      </c>
      <c r="M62" s="25"/>
      <c r="N62" s="26"/>
    </row>
    <row r="63" spans="2:14">
      <c r="B63" s="19">
        <v>46330</v>
      </c>
      <c r="C63" s="20" t="s">
        <v>15</v>
      </c>
      <c r="D63" s="21" t="s">
        <v>1303</v>
      </c>
      <c r="E63" s="22">
        <v>399.74</v>
      </c>
      <c r="F63" s="21" t="s">
        <v>29</v>
      </c>
      <c r="G63" s="21"/>
      <c r="H63" s="21" t="s">
        <v>1304</v>
      </c>
      <c r="I63" s="19">
        <v>46330</v>
      </c>
      <c r="J63" s="22">
        <f t="shared" si="4"/>
        <v>399.74</v>
      </c>
      <c r="K63" s="22">
        <v>399.74</v>
      </c>
      <c r="L63" s="24">
        <f t="shared" si="5"/>
        <v>0</v>
      </c>
      <c r="M63" s="25"/>
      <c r="N63" s="24"/>
    </row>
    <row r="64" spans="2:14">
      <c r="B64" s="72">
        <v>46330</v>
      </c>
      <c r="C64" s="73" t="s">
        <v>15</v>
      </c>
      <c r="D64" s="74" t="s">
        <v>1305</v>
      </c>
      <c r="E64" s="75">
        <v>1063.81</v>
      </c>
      <c r="F64" s="74" t="s">
        <v>17</v>
      </c>
      <c r="G64" s="81" t="s">
        <v>21</v>
      </c>
      <c r="H64" s="74" t="s">
        <v>1306</v>
      </c>
      <c r="I64" s="72">
        <v>46330</v>
      </c>
      <c r="J64" s="75">
        <f t="shared" si="4"/>
        <v>1063.81</v>
      </c>
      <c r="K64" s="75">
        <v>1063.81</v>
      </c>
      <c r="L64" s="24">
        <f t="shared" si="5"/>
        <v>0</v>
      </c>
      <c r="M64" s="25"/>
      <c r="N64" s="70" t="s">
        <v>1307</v>
      </c>
    </row>
    <row r="65" spans="2:14">
      <c r="B65" s="72">
        <v>46330</v>
      </c>
      <c r="C65" s="73" t="s">
        <v>15</v>
      </c>
      <c r="D65" s="74" t="s">
        <v>1308</v>
      </c>
      <c r="E65" s="75">
        <v>103.7</v>
      </c>
      <c r="F65" s="74" t="s">
        <v>17</v>
      </c>
      <c r="G65" s="81" t="s">
        <v>21</v>
      </c>
      <c r="H65" s="74" t="s">
        <v>1309</v>
      </c>
      <c r="I65" s="72">
        <v>46330</v>
      </c>
      <c r="J65" s="75">
        <f t="shared" si="4"/>
        <v>103.7</v>
      </c>
      <c r="K65" s="75">
        <v>103.7</v>
      </c>
      <c r="L65" s="24">
        <f t="shared" si="5"/>
        <v>0</v>
      </c>
      <c r="M65" s="25"/>
      <c r="N65" s="70" t="s">
        <v>63</v>
      </c>
    </row>
    <row r="66" spans="2:14">
      <c r="B66" s="19" t="s">
        <v>1310</v>
      </c>
      <c r="C66" s="20" t="s">
        <v>15</v>
      </c>
      <c r="D66" s="21" t="s">
        <v>1311</v>
      </c>
      <c r="E66" s="22">
        <v>264.68</v>
      </c>
      <c r="F66" s="21" t="s">
        <v>29</v>
      </c>
      <c r="G66" s="23"/>
      <c r="H66" s="21" t="s">
        <v>1312</v>
      </c>
      <c r="I66" s="19" t="s">
        <v>1310</v>
      </c>
      <c r="J66" s="22">
        <f t="shared" si="4"/>
        <v>264.68</v>
      </c>
      <c r="K66" s="22">
        <v>264.68</v>
      </c>
      <c r="L66" s="24">
        <f t="shared" si="5"/>
        <v>0</v>
      </c>
      <c r="M66" s="25"/>
      <c r="N66" s="26"/>
    </row>
    <row r="67" spans="2:14">
      <c r="B67" s="72" t="s">
        <v>1310</v>
      </c>
      <c r="C67" s="73" t="s">
        <v>15</v>
      </c>
      <c r="D67" s="74" t="s">
        <v>1313</v>
      </c>
      <c r="E67" s="75">
        <v>809.65</v>
      </c>
      <c r="F67" s="74" t="s">
        <v>17</v>
      </c>
      <c r="G67" s="81" t="s">
        <v>21</v>
      </c>
      <c r="H67" s="74" t="s">
        <v>1314</v>
      </c>
      <c r="I67" s="72" t="s">
        <v>1310</v>
      </c>
      <c r="J67" s="75">
        <f t="shared" si="4"/>
        <v>809.65</v>
      </c>
      <c r="K67" s="75">
        <v>809.65</v>
      </c>
      <c r="L67" s="24">
        <f t="shared" si="5"/>
        <v>0</v>
      </c>
      <c r="M67" s="25"/>
      <c r="N67" s="70" t="s">
        <v>33</v>
      </c>
    </row>
    <row r="68" spans="2:14">
      <c r="B68" s="19" t="s">
        <v>1310</v>
      </c>
      <c r="C68" s="20" t="s">
        <v>15</v>
      </c>
      <c r="D68" s="21" t="s">
        <v>1315</v>
      </c>
      <c r="E68" s="22">
        <v>56.17</v>
      </c>
      <c r="F68" s="21" t="s">
        <v>29</v>
      </c>
      <c r="G68" s="23"/>
      <c r="H68" s="21" t="s">
        <v>1316</v>
      </c>
      <c r="I68" s="19" t="s">
        <v>1310</v>
      </c>
      <c r="J68" s="22">
        <f t="shared" si="4"/>
        <v>56.17</v>
      </c>
      <c r="K68" s="22">
        <v>56.17</v>
      </c>
      <c r="L68" s="24">
        <f t="shared" si="5"/>
        <v>0</v>
      </c>
      <c r="M68" s="25"/>
      <c r="N68" s="26"/>
    </row>
    <row r="69" spans="2:14">
      <c r="B69" s="72" t="s">
        <v>1310</v>
      </c>
      <c r="C69" s="73" t="s">
        <v>15</v>
      </c>
      <c r="D69" s="74" t="s">
        <v>1317</v>
      </c>
      <c r="E69" s="75">
        <v>188.11</v>
      </c>
      <c r="F69" s="74" t="s">
        <v>29</v>
      </c>
      <c r="G69" s="74"/>
      <c r="H69" s="74" t="s">
        <v>1318</v>
      </c>
      <c r="I69" s="72" t="s">
        <v>1310</v>
      </c>
      <c r="J69" s="75">
        <f t="shared" si="4"/>
        <v>188.11</v>
      </c>
      <c r="K69" s="75">
        <v>188.11</v>
      </c>
      <c r="L69" s="24">
        <f t="shared" si="5"/>
        <v>0</v>
      </c>
      <c r="M69" s="25"/>
      <c r="N69" s="70" t="s">
        <v>33</v>
      </c>
    </row>
    <row r="70" spans="2:14">
      <c r="B70" s="19" t="s">
        <v>1310</v>
      </c>
      <c r="C70" s="20" t="s">
        <v>15</v>
      </c>
      <c r="D70" s="21" t="s">
        <v>1319</v>
      </c>
      <c r="E70" s="22">
        <v>375.18</v>
      </c>
      <c r="F70" s="21" t="s">
        <v>17</v>
      </c>
      <c r="G70" s="21" t="s">
        <v>21</v>
      </c>
      <c r="H70" s="21" t="s">
        <v>1320</v>
      </c>
      <c r="I70" s="19">
        <v>46177</v>
      </c>
      <c r="J70" s="22">
        <f t="shared" si="4"/>
        <v>375.18</v>
      </c>
      <c r="K70" s="22">
        <v>375.18</v>
      </c>
      <c r="L70" s="24">
        <f t="shared" si="5"/>
        <v>0</v>
      </c>
      <c r="M70" s="25"/>
      <c r="N70" s="31"/>
    </row>
    <row r="71" spans="2:14">
      <c r="B71" s="19" t="s">
        <v>1310</v>
      </c>
      <c r="C71" s="20" t="s">
        <v>15</v>
      </c>
      <c r="D71" s="21" t="s">
        <v>1321</v>
      </c>
      <c r="E71" s="22">
        <v>280.84</v>
      </c>
      <c r="F71" s="21" t="s">
        <v>29</v>
      </c>
      <c r="G71" s="21"/>
      <c r="H71" s="21" t="s">
        <v>1322</v>
      </c>
      <c r="I71" s="19" t="s">
        <v>1310</v>
      </c>
      <c r="J71" s="22">
        <f t="shared" si="4"/>
        <v>280.84</v>
      </c>
      <c r="K71" s="22">
        <v>280.84</v>
      </c>
      <c r="L71" s="24">
        <f t="shared" si="5"/>
        <v>0</v>
      </c>
      <c r="M71" s="25"/>
      <c r="N71" s="26"/>
    </row>
    <row r="72" spans="2:14">
      <c r="B72" s="19" t="s">
        <v>1310</v>
      </c>
      <c r="C72" s="20" t="s">
        <v>64</v>
      </c>
      <c r="D72" s="21" t="s">
        <v>1323</v>
      </c>
      <c r="E72" s="22">
        <v>222.12</v>
      </c>
      <c r="F72" s="21" t="s">
        <v>29</v>
      </c>
      <c r="G72" s="21"/>
      <c r="H72" s="21" t="s">
        <v>1324</v>
      </c>
      <c r="I72" s="19" t="s">
        <v>1310</v>
      </c>
      <c r="J72" s="22">
        <f t="shared" si="4"/>
        <v>222.12</v>
      </c>
      <c r="K72" s="22">
        <v>222.12</v>
      </c>
      <c r="L72" s="24">
        <f t="shared" si="5"/>
        <v>0</v>
      </c>
      <c r="M72" s="25"/>
      <c r="N72" s="26"/>
    </row>
    <row r="73" spans="2:14">
      <c r="B73" s="19" t="s">
        <v>1310</v>
      </c>
      <c r="C73" s="20" t="s">
        <v>64</v>
      </c>
      <c r="D73" s="21" t="s">
        <v>1325</v>
      </c>
      <c r="E73" s="22">
        <v>417.63</v>
      </c>
      <c r="F73" s="21" t="s">
        <v>17</v>
      </c>
      <c r="G73" s="21" t="s">
        <v>21</v>
      </c>
      <c r="H73" s="21" t="s">
        <v>1326</v>
      </c>
      <c r="I73" s="19" t="s">
        <v>1310</v>
      </c>
      <c r="J73" s="22">
        <f t="shared" si="4"/>
        <v>417.63</v>
      </c>
      <c r="K73" s="22">
        <v>417.63</v>
      </c>
      <c r="L73" s="24">
        <f t="shared" si="5"/>
        <v>0</v>
      </c>
      <c r="M73" s="25"/>
      <c r="N73" s="26"/>
    </row>
    <row r="74" spans="2:14">
      <c r="B74" s="64" t="s">
        <v>1310</v>
      </c>
      <c r="C74" s="65" t="s">
        <v>15</v>
      </c>
      <c r="D74" s="66" t="s">
        <v>1327</v>
      </c>
      <c r="E74" s="67">
        <v>629.69</v>
      </c>
      <c r="F74" s="66" t="s">
        <v>17</v>
      </c>
      <c r="G74" s="66" t="s">
        <v>18</v>
      </c>
      <c r="H74" s="66" t="s">
        <v>1328</v>
      </c>
      <c r="I74" s="64" t="s">
        <v>1310</v>
      </c>
      <c r="J74" s="67">
        <f t="shared" si="4"/>
        <v>629.69</v>
      </c>
      <c r="K74" s="67">
        <v>629.69</v>
      </c>
      <c r="L74" s="24">
        <f t="shared" si="5"/>
        <v>0</v>
      </c>
      <c r="M74" s="25"/>
      <c r="N74" s="70" t="s">
        <v>366</v>
      </c>
    </row>
    <row r="75" spans="2:14">
      <c r="B75" s="56" t="s">
        <v>1310</v>
      </c>
      <c r="C75" s="57" t="s">
        <v>15</v>
      </c>
      <c r="D75" s="58" t="s">
        <v>1329</v>
      </c>
      <c r="E75" s="62">
        <v>6537.64</v>
      </c>
      <c r="F75" s="58" t="s">
        <v>813</v>
      </c>
      <c r="G75" s="58"/>
      <c r="H75" s="58"/>
      <c r="I75" s="56" t="s">
        <v>1310</v>
      </c>
      <c r="J75" s="62">
        <f t="shared" si="4"/>
        <v>6537.64</v>
      </c>
      <c r="K75" s="62">
        <v>6537.64</v>
      </c>
      <c r="L75" s="24">
        <f t="shared" si="5"/>
        <v>0</v>
      </c>
      <c r="M75" s="25"/>
      <c r="N75" s="70" t="s">
        <v>56</v>
      </c>
    </row>
    <row r="76" spans="2:14">
      <c r="B76" s="19" t="s">
        <v>1330</v>
      </c>
      <c r="C76" s="20" t="s">
        <v>15</v>
      </c>
      <c r="D76" s="21" t="s">
        <v>1331</v>
      </c>
      <c r="E76" s="22">
        <v>199.87</v>
      </c>
      <c r="F76" s="21" t="s">
        <v>29</v>
      </c>
      <c r="G76" s="21"/>
      <c r="H76" s="21" t="s">
        <v>1332</v>
      </c>
      <c r="I76" s="19" t="s">
        <v>1330</v>
      </c>
      <c r="J76" s="22">
        <f t="shared" si="4"/>
        <v>199.87</v>
      </c>
      <c r="K76" s="22">
        <v>199.87</v>
      </c>
      <c r="L76" s="24">
        <f t="shared" si="5"/>
        <v>0</v>
      </c>
      <c r="M76" s="25"/>
      <c r="N76" s="26"/>
    </row>
    <row r="77" spans="2:14">
      <c r="B77" s="19" t="s">
        <v>1330</v>
      </c>
      <c r="C77" s="20" t="s">
        <v>15</v>
      </c>
      <c r="D77" s="21" t="s">
        <v>1333</v>
      </c>
      <c r="E77" s="22">
        <v>399.74</v>
      </c>
      <c r="F77" s="21" t="s">
        <v>29</v>
      </c>
      <c r="G77" s="21"/>
      <c r="H77" s="21" t="s">
        <v>1334</v>
      </c>
      <c r="I77" s="19" t="s">
        <v>1330</v>
      </c>
      <c r="J77" s="22">
        <f t="shared" si="4"/>
        <v>399.74</v>
      </c>
      <c r="K77" s="22">
        <v>399.74</v>
      </c>
      <c r="L77" s="24">
        <f t="shared" si="5"/>
        <v>0</v>
      </c>
      <c r="M77" s="25"/>
      <c r="N77" s="26"/>
    </row>
    <row r="78" spans="2:14">
      <c r="B78" s="19" t="s">
        <v>1330</v>
      </c>
      <c r="C78" s="20" t="s">
        <v>15</v>
      </c>
      <c r="D78" s="21" t="s">
        <v>1335</v>
      </c>
      <c r="E78" s="22">
        <v>370.69</v>
      </c>
      <c r="F78" s="21" t="s">
        <v>17</v>
      </c>
      <c r="G78" s="21" t="s">
        <v>21</v>
      </c>
      <c r="H78" s="21" t="s">
        <v>1336</v>
      </c>
      <c r="I78" s="19" t="s">
        <v>1330</v>
      </c>
      <c r="J78" s="22">
        <f t="shared" si="4"/>
        <v>370.69</v>
      </c>
      <c r="K78" s="22">
        <v>370.69</v>
      </c>
      <c r="L78" s="24">
        <f t="shared" si="5"/>
        <v>0</v>
      </c>
      <c r="M78" s="25"/>
      <c r="N78" s="26"/>
    </row>
    <row r="79" spans="2:14">
      <c r="B79" s="72" t="s">
        <v>1330</v>
      </c>
      <c r="C79" s="73" t="s">
        <v>15</v>
      </c>
      <c r="D79" s="74" t="s">
        <v>1337</v>
      </c>
      <c r="E79" s="75">
        <v>597.29</v>
      </c>
      <c r="F79" s="74" t="s">
        <v>17</v>
      </c>
      <c r="G79" s="74" t="s">
        <v>21</v>
      </c>
      <c r="H79" s="74" t="s">
        <v>1338</v>
      </c>
      <c r="I79" s="72" t="s">
        <v>1330</v>
      </c>
      <c r="J79" s="75">
        <f t="shared" si="4"/>
        <v>597.29</v>
      </c>
      <c r="K79" s="75">
        <v>597.29</v>
      </c>
      <c r="L79" s="24">
        <f t="shared" si="5"/>
        <v>0</v>
      </c>
      <c r="M79" s="25"/>
      <c r="N79" s="70" t="s">
        <v>39</v>
      </c>
    </row>
    <row r="80" spans="2:14">
      <c r="B80" s="72" t="s">
        <v>1330</v>
      </c>
      <c r="C80" s="73" t="s">
        <v>15</v>
      </c>
      <c r="D80" s="74" t="s">
        <v>1339</v>
      </c>
      <c r="E80" s="75">
        <v>163.54</v>
      </c>
      <c r="F80" s="74" t="s">
        <v>17</v>
      </c>
      <c r="G80" s="74" t="s">
        <v>21</v>
      </c>
      <c r="H80" s="74" t="s">
        <v>1340</v>
      </c>
      <c r="I80" s="72" t="s">
        <v>1330</v>
      </c>
      <c r="J80" s="75">
        <f t="shared" si="4"/>
        <v>163.54</v>
      </c>
      <c r="K80" s="75">
        <v>163.54</v>
      </c>
      <c r="L80" s="24">
        <f t="shared" si="5"/>
        <v>0</v>
      </c>
      <c r="M80" s="25"/>
      <c r="N80" s="70" t="s">
        <v>23</v>
      </c>
    </row>
    <row r="81" spans="2:14">
      <c r="B81" s="19" t="s">
        <v>1330</v>
      </c>
      <c r="C81" s="20" t="s">
        <v>15</v>
      </c>
      <c r="D81" s="21" t="s">
        <v>1341</v>
      </c>
      <c r="E81" s="22">
        <v>568.53</v>
      </c>
      <c r="F81" s="21" t="s">
        <v>17</v>
      </c>
      <c r="G81" s="21" t="s">
        <v>18</v>
      </c>
      <c r="H81" s="21" t="s">
        <v>1342</v>
      </c>
      <c r="I81" s="19" t="s">
        <v>1330</v>
      </c>
      <c r="J81" s="22">
        <f t="shared" ref="J81:J117" si="6">E81</f>
        <v>568.53</v>
      </c>
      <c r="K81" s="22">
        <v>568.53</v>
      </c>
      <c r="L81" s="24">
        <f t="shared" ref="L81:L123" si="7">J81-K81</f>
        <v>0</v>
      </c>
      <c r="M81" s="25"/>
      <c r="N81" s="26"/>
    </row>
    <row r="82" spans="2:14">
      <c r="B82" s="19" t="s">
        <v>1330</v>
      </c>
      <c r="C82" s="20" t="s">
        <v>15</v>
      </c>
      <c r="D82" s="21" t="s">
        <v>1343</v>
      </c>
      <c r="E82" s="22">
        <v>508.43</v>
      </c>
      <c r="F82" s="21" t="s">
        <v>17</v>
      </c>
      <c r="G82" s="21" t="s">
        <v>18</v>
      </c>
      <c r="H82" s="21" t="s">
        <v>1344</v>
      </c>
      <c r="I82" s="19" t="s">
        <v>1330</v>
      </c>
      <c r="J82" s="22">
        <f t="shared" si="6"/>
        <v>508.43</v>
      </c>
      <c r="K82" s="22">
        <v>508.43</v>
      </c>
      <c r="L82" s="24">
        <f t="shared" si="7"/>
        <v>0</v>
      </c>
      <c r="M82" s="25"/>
      <c r="N82" s="26"/>
    </row>
    <row r="83" spans="2:14">
      <c r="B83" s="72" t="s">
        <v>1330</v>
      </c>
      <c r="C83" s="73" t="s">
        <v>15</v>
      </c>
      <c r="D83" s="74" t="s">
        <v>1345</v>
      </c>
      <c r="E83" s="75">
        <v>1609.02</v>
      </c>
      <c r="F83" s="74" t="s">
        <v>17</v>
      </c>
      <c r="G83" s="74" t="s">
        <v>21</v>
      </c>
      <c r="H83" s="74" t="s">
        <v>1346</v>
      </c>
      <c r="I83" s="72" t="s">
        <v>1330</v>
      </c>
      <c r="J83" s="75">
        <f t="shared" si="6"/>
        <v>1609.02</v>
      </c>
      <c r="K83" s="75">
        <v>1609.02</v>
      </c>
      <c r="L83" s="24">
        <f t="shared" si="7"/>
        <v>0</v>
      </c>
      <c r="M83" s="25"/>
      <c r="N83" s="70" t="s">
        <v>23</v>
      </c>
    </row>
    <row r="84" spans="2:14">
      <c r="B84" s="56" t="s">
        <v>1330</v>
      </c>
      <c r="C84" s="57" t="s">
        <v>15</v>
      </c>
      <c r="D84" s="58" t="s">
        <v>1347</v>
      </c>
      <c r="E84" s="62">
        <v>5241.15</v>
      </c>
      <c r="F84" s="58" t="s">
        <v>17</v>
      </c>
      <c r="G84" s="58" t="s">
        <v>21</v>
      </c>
      <c r="H84" s="58" t="s">
        <v>1348</v>
      </c>
      <c r="I84" s="56" t="s">
        <v>1330</v>
      </c>
      <c r="J84" s="62">
        <f t="shared" si="6"/>
        <v>5241.15</v>
      </c>
      <c r="K84" s="62">
        <v>5241.15</v>
      </c>
      <c r="L84" s="24">
        <f t="shared" si="7"/>
        <v>0</v>
      </c>
      <c r="M84" s="24" t="s">
        <v>1349</v>
      </c>
      <c r="N84" s="70" t="s">
        <v>56</v>
      </c>
    </row>
    <row r="85" spans="2:14">
      <c r="B85" s="56" t="s">
        <v>1330</v>
      </c>
      <c r="C85" s="57" t="s">
        <v>15</v>
      </c>
      <c r="D85" s="58" t="s">
        <v>1350</v>
      </c>
      <c r="E85" s="62">
        <v>3293.5</v>
      </c>
      <c r="F85" s="58" t="s">
        <v>17</v>
      </c>
      <c r="G85" s="58" t="s">
        <v>18</v>
      </c>
      <c r="H85" s="58" t="s">
        <v>1351</v>
      </c>
      <c r="I85" s="56" t="s">
        <v>1330</v>
      </c>
      <c r="J85" s="62">
        <f t="shared" si="6"/>
        <v>3293.5</v>
      </c>
      <c r="K85" s="62">
        <v>3293.5</v>
      </c>
      <c r="L85" s="24">
        <f t="shared" si="7"/>
        <v>0</v>
      </c>
      <c r="M85" s="25"/>
      <c r="N85" s="70" t="s">
        <v>56</v>
      </c>
    </row>
    <row r="86" spans="2:14">
      <c r="B86" s="56" t="s">
        <v>1330</v>
      </c>
      <c r="C86" s="57" t="s">
        <v>15</v>
      </c>
      <c r="D86" s="58" t="s">
        <v>1352</v>
      </c>
      <c r="E86" s="62">
        <v>1314.83</v>
      </c>
      <c r="F86" s="58" t="s">
        <v>17</v>
      </c>
      <c r="G86" s="58" t="s">
        <v>18</v>
      </c>
      <c r="H86" s="82" t="s">
        <v>1353</v>
      </c>
      <c r="I86" s="56" t="s">
        <v>1330</v>
      </c>
      <c r="J86" s="62">
        <f t="shared" si="6"/>
        <v>1314.83</v>
      </c>
      <c r="K86" s="62">
        <v>1314.83</v>
      </c>
      <c r="L86" s="24">
        <f t="shared" si="7"/>
        <v>0</v>
      </c>
      <c r="M86" s="25"/>
      <c r="N86" s="70" t="s">
        <v>56</v>
      </c>
    </row>
    <row r="87" spans="2:14">
      <c r="B87" s="19" t="s">
        <v>1354</v>
      </c>
      <c r="C87" s="20" t="s">
        <v>15</v>
      </c>
      <c r="D87" s="21" t="s">
        <v>1355</v>
      </c>
      <c r="E87" s="22">
        <v>159.52</v>
      </c>
      <c r="F87" s="21" t="s">
        <v>29</v>
      </c>
      <c r="G87" s="21"/>
      <c r="H87" s="21" t="s">
        <v>1356</v>
      </c>
      <c r="I87" s="19" t="s">
        <v>1354</v>
      </c>
      <c r="J87" s="22">
        <f t="shared" si="6"/>
        <v>159.52</v>
      </c>
      <c r="K87" s="22">
        <v>159.52</v>
      </c>
      <c r="L87" s="24">
        <f t="shared" si="7"/>
        <v>0</v>
      </c>
      <c r="M87" s="25"/>
      <c r="N87" s="26"/>
    </row>
    <row r="88" spans="2:14">
      <c r="B88" s="72" t="s">
        <v>1354</v>
      </c>
      <c r="C88" s="73" t="s">
        <v>15</v>
      </c>
      <c r="D88" s="74" t="s">
        <v>1357</v>
      </c>
      <c r="E88" s="75">
        <v>327.08</v>
      </c>
      <c r="F88" s="74" t="s">
        <v>17</v>
      </c>
      <c r="G88" s="74" t="s">
        <v>21</v>
      </c>
      <c r="H88" s="74" t="s">
        <v>1358</v>
      </c>
      <c r="I88" s="72" t="s">
        <v>1354</v>
      </c>
      <c r="J88" s="75">
        <f t="shared" si="6"/>
        <v>327.08</v>
      </c>
      <c r="K88" s="75">
        <v>327.08</v>
      </c>
      <c r="L88" s="24">
        <f t="shared" si="7"/>
        <v>0</v>
      </c>
      <c r="M88" s="25"/>
      <c r="N88" s="70" t="s">
        <v>23</v>
      </c>
    </row>
    <row r="89" spans="2:14">
      <c r="B89" s="19" t="s">
        <v>1354</v>
      </c>
      <c r="C89" s="20" t="s">
        <v>15</v>
      </c>
      <c r="D89" s="21" t="s">
        <v>1359</v>
      </c>
      <c r="E89" s="22">
        <v>112.46</v>
      </c>
      <c r="F89" s="21" t="s">
        <v>17</v>
      </c>
      <c r="G89" s="21" t="s">
        <v>21</v>
      </c>
      <c r="H89" s="21" t="s">
        <v>1360</v>
      </c>
      <c r="I89" s="19" t="s">
        <v>1354</v>
      </c>
      <c r="J89" s="22">
        <f t="shared" si="6"/>
        <v>112.46</v>
      </c>
      <c r="K89" s="22">
        <v>112.46</v>
      </c>
      <c r="L89" s="24">
        <f t="shared" si="7"/>
        <v>0</v>
      </c>
      <c r="M89" s="25"/>
      <c r="N89" s="26"/>
    </row>
    <row r="90" spans="2:14">
      <c r="B90" s="72" t="s">
        <v>1361</v>
      </c>
      <c r="C90" s="73" t="s">
        <v>15</v>
      </c>
      <c r="D90" s="74" t="s">
        <v>1362</v>
      </c>
      <c r="E90" s="75">
        <v>142.02</v>
      </c>
      <c r="F90" s="74" t="s">
        <v>17</v>
      </c>
      <c r="G90" s="74" t="s">
        <v>21</v>
      </c>
      <c r="H90" s="74" t="s">
        <v>1363</v>
      </c>
      <c r="I90" s="72" t="s">
        <v>1361</v>
      </c>
      <c r="J90" s="75">
        <f t="shared" si="6"/>
        <v>142.02</v>
      </c>
      <c r="K90" s="75">
        <v>142.02</v>
      </c>
      <c r="L90" s="24">
        <f t="shared" si="7"/>
        <v>0</v>
      </c>
      <c r="M90" s="25"/>
      <c r="N90" s="70" t="s">
        <v>63</v>
      </c>
    </row>
    <row r="91" spans="2:14">
      <c r="B91" s="19" t="s">
        <v>1361</v>
      </c>
      <c r="C91" s="20" t="s">
        <v>15</v>
      </c>
      <c r="D91" s="21" t="s">
        <v>1364</v>
      </c>
      <c r="E91" s="22">
        <v>67.75</v>
      </c>
      <c r="F91" s="21" t="s">
        <v>29</v>
      </c>
      <c r="G91" s="21"/>
      <c r="H91" s="21" t="s">
        <v>1365</v>
      </c>
      <c r="I91" s="19" t="s">
        <v>1361</v>
      </c>
      <c r="J91" s="22">
        <f t="shared" si="6"/>
        <v>67.75</v>
      </c>
      <c r="K91" s="22">
        <v>67.75</v>
      </c>
      <c r="L91" s="24">
        <f t="shared" si="7"/>
        <v>0</v>
      </c>
      <c r="M91" s="25"/>
      <c r="N91" s="26"/>
    </row>
    <row r="92" spans="2:14">
      <c r="B92" s="72" t="s">
        <v>1361</v>
      </c>
      <c r="C92" s="73" t="s">
        <v>15</v>
      </c>
      <c r="D92" s="74" t="s">
        <v>1366</v>
      </c>
      <c r="E92" s="75">
        <v>164.55</v>
      </c>
      <c r="F92" s="74" t="s">
        <v>17</v>
      </c>
      <c r="G92" s="74" t="s">
        <v>18</v>
      </c>
      <c r="H92" s="74" t="s">
        <v>1367</v>
      </c>
      <c r="I92" s="72" t="s">
        <v>1361</v>
      </c>
      <c r="J92" s="75">
        <f t="shared" si="6"/>
        <v>164.55</v>
      </c>
      <c r="K92" s="75">
        <v>164.55</v>
      </c>
      <c r="L92" s="24">
        <f t="shared" si="7"/>
        <v>0</v>
      </c>
      <c r="M92" s="25"/>
      <c r="N92" s="70" t="s">
        <v>23</v>
      </c>
    </row>
    <row r="93" spans="2:14">
      <c r="B93" s="72" t="s">
        <v>1361</v>
      </c>
      <c r="C93" s="73" t="s">
        <v>15</v>
      </c>
      <c r="D93" s="74" t="s">
        <v>1368</v>
      </c>
      <c r="E93" s="75">
        <v>163.54</v>
      </c>
      <c r="F93" s="74" t="s">
        <v>17</v>
      </c>
      <c r="G93" s="74" t="s">
        <v>21</v>
      </c>
      <c r="H93" s="74" t="s">
        <v>1369</v>
      </c>
      <c r="I93" s="72" t="s">
        <v>1361</v>
      </c>
      <c r="J93" s="75">
        <f t="shared" si="6"/>
        <v>163.54</v>
      </c>
      <c r="K93" s="75">
        <v>163.54</v>
      </c>
      <c r="L93" s="24">
        <f t="shared" si="7"/>
        <v>0</v>
      </c>
      <c r="M93" s="25"/>
      <c r="N93" s="70" t="s">
        <v>23</v>
      </c>
    </row>
    <row r="94" spans="2:14">
      <c r="B94" s="19" t="s">
        <v>1361</v>
      </c>
      <c r="C94" s="20" t="s">
        <v>15</v>
      </c>
      <c r="D94" s="21" t="s">
        <v>1370</v>
      </c>
      <c r="E94" s="22">
        <v>399.74</v>
      </c>
      <c r="F94" s="21" t="s">
        <v>29</v>
      </c>
      <c r="G94" s="21"/>
      <c r="H94" s="21" t="s">
        <v>1371</v>
      </c>
      <c r="I94" s="19" t="s">
        <v>1361</v>
      </c>
      <c r="J94" s="22">
        <f t="shared" si="6"/>
        <v>399.74</v>
      </c>
      <c r="K94" s="22">
        <v>399.74</v>
      </c>
      <c r="L94" s="24">
        <f t="shared" si="7"/>
        <v>0</v>
      </c>
      <c r="M94" s="25"/>
      <c r="N94" s="26"/>
    </row>
    <row r="95" spans="2:14">
      <c r="B95" s="72" t="s">
        <v>1361</v>
      </c>
      <c r="C95" s="73" t="s">
        <v>15</v>
      </c>
      <c r="D95" s="74" t="s">
        <v>1372</v>
      </c>
      <c r="E95" s="75">
        <v>1632.71</v>
      </c>
      <c r="F95" s="74" t="s">
        <v>17</v>
      </c>
      <c r="G95" s="74" t="s">
        <v>18</v>
      </c>
      <c r="H95" s="74" t="s">
        <v>1373</v>
      </c>
      <c r="I95" s="72" t="s">
        <v>1361</v>
      </c>
      <c r="J95" s="75">
        <f t="shared" si="6"/>
        <v>1632.71</v>
      </c>
      <c r="K95" s="75">
        <v>1632.71</v>
      </c>
      <c r="L95" s="24">
        <f t="shared" si="7"/>
        <v>0</v>
      </c>
      <c r="M95" s="25"/>
      <c r="N95" s="70" t="s">
        <v>60</v>
      </c>
    </row>
    <row r="96" spans="2:14">
      <c r="B96" s="19" t="s">
        <v>1361</v>
      </c>
      <c r="C96" s="20" t="s">
        <v>64</v>
      </c>
      <c r="D96" s="21" t="s">
        <v>1374</v>
      </c>
      <c r="E96" s="22">
        <v>300.44</v>
      </c>
      <c r="F96" s="21" t="s">
        <v>17</v>
      </c>
      <c r="G96" s="21" t="s">
        <v>21</v>
      </c>
      <c r="H96" s="21" t="s">
        <v>1375</v>
      </c>
      <c r="I96" s="19" t="s">
        <v>1361</v>
      </c>
      <c r="J96" s="22">
        <f t="shared" si="6"/>
        <v>300.44</v>
      </c>
      <c r="K96" s="22">
        <v>300.44</v>
      </c>
      <c r="L96" s="24">
        <f t="shared" si="7"/>
        <v>0</v>
      </c>
      <c r="M96" s="25"/>
      <c r="N96" s="26"/>
    </row>
    <row r="97" spans="2:14">
      <c r="B97" s="56" t="s">
        <v>1361</v>
      </c>
      <c r="C97" s="57" t="s">
        <v>15</v>
      </c>
      <c r="D97" s="58" t="s">
        <v>1376</v>
      </c>
      <c r="E97" s="62">
        <v>2084.36</v>
      </c>
      <c r="F97" s="58" t="s">
        <v>17</v>
      </c>
      <c r="G97" s="58" t="s">
        <v>21</v>
      </c>
      <c r="H97" s="58" t="s">
        <v>1377</v>
      </c>
      <c r="I97" s="56" t="s">
        <v>1361</v>
      </c>
      <c r="J97" s="62">
        <f t="shared" si="6"/>
        <v>2084.36</v>
      </c>
      <c r="K97" s="62">
        <v>2084.36</v>
      </c>
      <c r="L97" s="24">
        <f t="shared" si="7"/>
        <v>0</v>
      </c>
      <c r="M97" s="25"/>
      <c r="N97" s="70" t="s">
        <v>56</v>
      </c>
    </row>
    <row r="98" spans="2:14">
      <c r="B98" s="72" t="s">
        <v>1378</v>
      </c>
      <c r="C98" s="73" t="s">
        <v>15</v>
      </c>
      <c r="D98" s="74" t="s">
        <v>1379</v>
      </c>
      <c r="E98" s="75">
        <v>151.65</v>
      </c>
      <c r="F98" s="74" t="s">
        <v>17</v>
      </c>
      <c r="G98" s="74" t="s">
        <v>18</v>
      </c>
      <c r="H98" s="74" t="s">
        <v>1380</v>
      </c>
      <c r="I98" s="72" t="s">
        <v>1378</v>
      </c>
      <c r="J98" s="75">
        <f t="shared" si="6"/>
        <v>151.65</v>
      </c>
      <c r="K98" s="75">
        <v>151.65</v>
      </c>
      <c r="L98" s="24">
        <f t="shared" si="7"/>
        <v>0</v>
      </c>
      <c r="M98" s="25"/>
      <c r="N98" s="70" t="s">
        <v>23</v>
      </c>
    </row>
    <row r="99" spans="2:14">
      <c r="B99" s="72" t="s">
        <v>1378</v>
      </c>
      <c r="C99" s="73" t="s">
        <v>15</v>
      </c>
      <c r="D99" s="74" t="s">
        <v>1381</v>
      </c>
      <c r="E99" s="75">
        <v>517.55</v>
      </c>
      <c r="F99" s="74" t="s">
        <v>17</v>
      </c>
      <c r="G99" s="74" t="s">
        <v>21</v>
      </c>
      <c r="H99" s="74" t="s">
        <v>1382</v>
      </c>
      <c r="I99" s="72" t="s">
        <v>1378</v>
      </c>
      <c r="J99" s="75">
        <f t="shared" si="6"/>
        <v>517.55</v>
      </c>
      <c r="K99" s="75">
        <v>517.55</v>
      </c>
      <c r="L99" s="24">
        <f t="shared" si="7"/>
        <v>0</v>
      </c>
      <c r="M99" s="25"/>
      <c r="N99" s="70" t="s">
        <v>23</v>
      </c>
    </row>
    <row r="100" spans="2:14">
      <c r="B100" s="72" t="s">
        <v>1378</v>
      </c>
      <c r="C100" s="73" t="s">
        <v>15</v>
      </c>
      <c r="D100" s="74" t="s">
        <v>1383</v>
      </c>
      <c r="E100" s="75">
        <v>226.94</v>
      </c>
      <c r="F100" s="74" t="s">
        <v>17</v>
      </c>
      <c r="G100" s="74" t="s">
        <v>21</v>
      </c>
      <c r="H100" s="74" t="s">
        <v>1384</v>
      </c>
      <c r="I100" s="72" t="s">
        <v>1378</v>
      </c>
      <c r="J100" s="75">
        <f t="shared" si="6"/>
        <v>226.94</v>
      </c>
      <c r="K100" s="75">
        <v>226.94</v>
      </c>
      <c r="L100" s="24">
        <f t="shared" si="7"/>
        <v>0</v>
      </c>
      <c r="M100" s="25"/>
      <c r="N100" s="70" t="s">
        <v>23</v>
      </c>
    </row>
    <row r="101" spans="2:14">
      <c r="B101" s="89" t="s">
        <v>1378</v>
      </c>
      <c r="C101" s="46" t="s">
        <v>15</v>
      </c>
      <c r="D101" s="49" t="s">
        <v>1385</v>
      </c>
      <c r="E101" s="90">
        <v>101.49</v>
      </c>
      <c r="F101" s="49" t="s">
        <v>17</v>
      </c>
      <c r="G101" s="49" t="s">
        <v>21</v>
      </c>
      <c r="H101" s="49" t="s">
        <v>1386</v>
      </c>
      <c r="I101" s="89" t="s">
        <v>1378</v>
      </c>
      <c r="J101" s="90">
        <f t="shared" si="6"/>
        <v>101.49</v>
      </c>
      <c r="K101" s="90">
        <v>93.49</v>
      </c>
      <c r="L101" s="24">
        <f t="shared" si="7"/>
        <v>8</v>
      </c>
      <c r="M101" s="25"/>
      <c r="N101" s="26"/>
    </row>
    <row r="102" spans="2:14">
      <c r="B102" s="89"/>
      <c r="C102" s="46"/>
      <c r="D102" s="49"/>
      <c r="E102" s="90"/>
      <c r="F102" s="49" t="s">
        <v>595</v>
      </c>
      <c r="G102" s="49"/>
      <c r="H102" s="49"/>
      <c r="I102" s="89"/>
      <c r="J102" s="90">
        <f t="shared" si="6"/>
        <v>0</v>
      </c>
      <c r="K102" s="90">
        <v>8</v>
      </c>
      <c r="L102" s="24">
        <f t="shared" si="7"/>
        <v>-8</v>
      </c>
      <c r="M102" s="25"/>
      <c r="N102" s="26"/>
    </row>
    <row r="103" spans="2:14">
      <c r="B103" s="72" t="s">
        <v>1378</v>
      </c>
      <c r="C103" s="73" t="s">
        <v>15</v>
      </c>
      <c r="D103" s="74" t="s">
        <v>1387</v>
      </c>
      <c r="E103" s="75">
        <v>98.9</v>
      </c>
      <c r="F103" s="74" t="s">
        <v>17</v>
      </c>
      <c r="G103" s="74" t="s">
        <v>21</v>
      </c>
      <c r="H103" s="74" t="s">
        <v>1388</v>
      </c>
      <c r="I103" s="72" t="s">
        <v>1378</v>
      </c>
      <c r="J103" s="75">
        <f t="shared" si="6"/>
        <v>98.9</v>
      </c>
      <c r="K103" s="75">
        <v>98.9</v>
      </c>
      <c r="L103" s="24">
        <f t="shared" si="7"/>
        <v>0</v>
      </c>
      <c r="M103" s="25"/>
      <c r="N103" s="70" t="s">
        <v>39</v>
      </c>
    </row>
    <row r="104" spans="2:14">
      <c r="B104" s="19" t="s">
        <v>1378</v>
      </c>
      <c r="C104" s="20" t="s">
        <v>15</v>
      </c>
      <c r="D104" s="21" t="s">
        <v>1389</v>
      </c>
      <c r="E104" s="22">
        <v>865.45</v>
      </c>
      <c r="F104" s="21" t="s">
        <v>29</v>
      </c>
      <c r="G104" s="21"/>
      <c r="H104" s="68" t="s">
        <v>1390</v>
      </c>
      <c r="I104" s="19" t="s">
        <v>1378</v>
      </c>
      <c r="J104" s="22">
        <f t="shared" si="6"/>
        <v>865.45</v>
      </c>
      <c r="K104" s="22">
        <v>865.45</v>
      </c>
      <c r="L104" s="24">
        <f t="shared" si="7"/>
        <v>0</v>
      </c>
      <c r="M104" s="25"/>
      <c r="N104" s="26"/>
    </row>
    <row r="105" spans="2:14">
      <c r="B105" s="56" t="s">
        <v>1378</v>
      </c>
      <c r="C105" s="57" t="s">
        <v>15</v>
      </c>
      <c r="D105" s="58" t="s">
        <v>1391</v>
      </c>
      <c r="E105" s="62">
        <v>202.99</v>
      </c>
      <c r="F105" s="58" t="s">
        <v>17</v>
      </c>
      <c r="G105" s="58" t="s">
        <v>21</v>
      </c>
      <c r="H105" s="83" t="s">
        <v>1392</v>
      </c>
      <c r="I105" s="56" t="s">
        <v>1378</v>
      </c>
      <c r="J105" s="62">
        <f t="shared" si="6"/>
        <v>202.99</v>
      </c>
      <c r="K105" s="62">
        <v>202.99</v>
      </c>
      <c r="L105" s="24">
        <f t="shared" si="7"/>
        <v>0</v>
      </c>
      <c r="M105" s="25"/>
      <c r="N105" s="70" t="s">
        <v>56</v>
      </c>
    </row>
    <row r="106" spans="2:14">
      <c r="B106" s="56" t="s">
        <v>1378</v>
      </c>
      <c r="C106" s="57" t="s">
        <v>15</v>
      </c>
      <c r="D106" s="58" t="s">
        <v>1393</v>
      </c>
      <c r="E106" s="62">
        <v>797.84</v>
      </c>
      <c r="F106" s="58" t="s">
        <v>17</v>
      </c>
      <c r="G106" s="58" t="s">
        <v>18</v>
      </c>
      <c r="H106" s="58" t="s">
        <v>1394</v>
      </c>
      <c r="I106" s="56" t="s">
        <v>1378</v>
      </c>
      <c r="J106" s="62">
        <f t="shared" si="6"/>
        <v>797.84</v>
      </c>
      <c r="K106" s="62">
        <v>797.84</v>
      </c>
      <c r="L106" s="24">
        <f t="shared" si="7"/>
        <v>0</v>
      </c>
      <c r="M106" s="25"/>
      <c r="N106" s="70" t="s">
        <v>56</v>
      </c>
    </row>
    <row r="107" spans="2:14">
      <c r="B107" s="19" t="s">
        <v>1395</v>
      </c>
      <c r="C107" s="20" t="s">
        <v>15</v>
      </c>
      <c r="D107" s="21" t="s">
        <v>1396</v>
      </c>
      <c r="E107" s="22">
        <v>246.44</v>
      </c>
      <c r="F107" s="21" t="s">
        <v>17</v>
      </c>
      <c r="G107" s="21" t="s">
        <v>21</v>
      </c>
      <c r="H107" s="21" t="s">
        <v>1397</v>
      </c>
      <c r="I107" s="19" t="s">
        <v>1395</v>
      </c>
      <c r="J107" s="22">
        <f t="shared" si="6"/>
        <v>246.44</v>
      </c>
      <c r="K107" s="22">
        <v>246.44</v>
      </c>
      <c r="L107" s="24">
        <f t="shared" si="7"/>
        <v>0</v>
      </c>
      <c r="M107" s="25"/>
      <c r="N107" s="26"/>
    </row>
    <row r="108" spans="2:14">
      <c r="B108" s="19" t="s">
        <v>1395</v>
      </c>
      <c r="C108" s="20" t="s">
        <v>15</v>
      </c>
      <c r="D108" s="21" t="s">
        <v>1398</v>
      </c>
      <c r="E108" s="22">
        <v>151.48</v>
      </c>
      <c r="F108" s="21" t="s">
        <v>17</v>
      </c>
      <c r="G108" s="21" t="s">
        <v>21</v>
      </c>
      <c r="H108" s="21" t="s">
        <v>1399</v>
      </c>
      <c r="I108" s="19" t="s">
        <v>1395</v>
      </c>
      <c r="J108" s="22">
        <f t="shared" si="6"/>
        <v>151.48</v>
      </c>
      <c r="K108" s="22">
        <v>151.48</v>
      </c>
      <c r="L108" s="24">
        <f t="shared" si="7"/>
        <v>0</v>
      </c>
      <c r="M108" s="25"/>
      <c r="N108" s="26"/>
    </row>
    <row r="109" spans="2:14">
      <c r="B109" s="19" t="s">
        <v>1400</v>
      </c>
      <c r="C109" s="20" t="s">
        <v>15</v>
      </c>
      <c r="D109" s="21" t="s">
        <v>1401</v>
      </c>
      <c r="E109" s="22">
        <v>516.89</v>
      </c>
      <c r="F109" s="21" t="s">
        <v>17</v>
      </c>
      <c r="G109" s="21" t="s">
        <v>21</v>
      </c>
      <c r="H109" s="21" t="s">
        <v>1402</v>
      </c>
      <c r="I109" s="19" t="s">
        <v>1395</v>
      </c>
      <c r="J109" s="22">
        <f t="shared" si="6"/>
        <v>516.89</v>
      </c>
      <c r="K109" s="22">
        <v>516.89</v>
      </c>
      <c r="L109" s="24">
        <f t="shared" si="7"/>
        <v>0</v>
      </c>
      <c r="M109" s="25"/>
      <c r="N109" s="26"/>
    </row>
    <row r="110" spans="2:14">
      <c r="B110" s="72" t="s">
        <v>1400</v>
      </c>
      <c r="C110" s="73" t="s">
        <v>15</v>
      </c>
      <c r="D110" s="74" t="s">
        <v>1403</v>
      </c>
      <c r="E110" s="75">
        <v>867.69</v>
      </c>
      <c r="F110" s="74" t="s">
        <v>29</v>
      </c>
      <c r="G110" s="74"/>
      <c r="H110" s="74" t="s">
        <v>1404</v>
      </c>
      <c r="I110" s="72" t="s">
        <v>1400</v>
      </c>
      <c r="J110" s="75">
        <f t="shared" si="6"/>
        <v>867.69</v>
      </c>
      <c r="K110" s="75">
        <v>867.69</v>
      </c>
      <c r="L110" s="24">
        <f t="shared" si="7"/>
        <v>0</v>
      </c>
      <c r="M110" s="25"/>
      <c r="N110" s="70" t="s">
        <v>23</v>
      </c>
    </row>
    <row r="111" spans="2:14">
      <c r="B111" s="19" t="s">
        <v>1400</v>
      </c>
      <c r="C111" s="20" t="s">
        <v>15</v>
      </c>
      <c r="D111" s="21" t="s">
        <v>1405</v>
      </c>
      <c r="E111" s="22">
        <v>109.9</v>
      </c>
      <c r="F111" s="21" t="s">
        <v>29</v>
      </c>
      <c r="G111" s="21"/>
      <c r="H111" s="21" t="s">
        <v>1406</v>
      </c>
      <c r="I111" s="19" t="s">
        <v>1400</v>
      </c>
      <c r="J111" s="22">
        <f t="shared" si="6"/>
        <v>109.9</v>
      </c>
      <c r="K111" s="22">
        <v>109.9</v>
      </c>
      <c r="L111" s="24">
        <f t="shared" si="7"/>
        <v>0</v>
      </c>
      <c r="M111" s="25"/>
      <c r="N111" s="26"/>
    </row>
    <row r="112" spans="2:14">
      <c r="B112" s="72" t="s">
        <v>1400</v>
      </c>
      <c r="C112" s="73" t="s">
        <v>15</v>
      </c>
      <c r="D112" s="74" t="s">
        <v>1407</v>
      </c>
      <c r="E112" s="75">
        <v>907.55</v>
      </c>
      <c r="F112" s="74" t="s">
        <v>17</v>
      </c>
      <c r="G112" s="74" t="s">
        <v>21</v>
      </c>
      <c r="H112" s="74" t="s">
        <v>1408</v>
      </c>
      <c r="I112" s="72" t="s">
        <v>1400</v>
      </c>
      <c r="J112" s="75">
        <f t="shared" si="6"/>
        <v>907.55</v>
      </c>
      <c r="K112" s="75">
        <v>907.55</v>
      </c>
      <c r="L112" s="24">
        <f t="shared" si="7"/>
        <v>0</v>
      </c>
      <c r="M112" s="25"/>
      <c r="N112" s="70" t="s">
        <v>33</v>
      </c>
    </row>
    <row r="113" spans="2:14">
      <c r="B113" s="19" t="s">
        <v>1400</v>
      </c>
      <c r="C113" s="20" t="s">
        <v>15</v>
      </c>
      <c r="D113" s="21" t="s">
        <v>1409</v>
      </c>
      <c r="E113" s="22">
        <v>433.52</v>
      </c>
      <c r="F113" s="21" t="s">
        <v>17</v>
      </c>
      <c r="G113" s="21" t="s">
        <v>21</v>
      </c>
      <c r="H113" s="21" t="s">
        <v>1410</v>
      </c>
      <c r="I113" s="19" t="s">
        <v>1400</v>
      </c>
      <c r="J113" s="22">
        <f t="shared" si="6"/>
        <v>433.52</v>
      </c>
      <c r="K113" s="22">
        <v>433.52</v>
      </c>
      <c r="L113" s="24">
        <f t="shared" si="7"/>
        <v>0</v>
      </c>
      <c r="M113" s="25"/>
      <c r="N113" s="26"/>
    </row>
    <row r="114" spans="2:14">
      <c r="B114" s="19" t="s">
        <v>1400</v>
      </c>
      <c r="C114" s="20" t="s">
        <v>64</v>
      </c>
      <c r="D114" s="21" t="s">
        <v>1411</v>
      </c>
      <c r="E114" s="22">
        <v>199.87</v>
      </c>
      <c r="F114" s="21" t="s">
        <v>29</v>
      </c>
      <c r="G114" s="21"/>
      <c r="H114" s="21" t="s">
        <v>1412</v>
      </c>
      <c r="I114" s="19" t="s">
        <v>1400</v>
      </c>
      <c r="J114" s="22">
        <f t="shared" si="6"/>
        <v>199.87</v>
      </c>
      <c r="K114" s="22">
        <v>199.87</v>
      </c>
      <c r="L114" s="24">
        <f t="shared" si="7"/>
        <v>0</v>
      </c>
      <c r="M114" s="25"/>
      <c r="N114" s="26"/>
    </row>
    <row r="115" spans="2:14">
      <c r="B115" s="19" t="s">
        <v>1413</v>
      </c>
      <c r="C115" s="20" t="s">
        <v>15</v>
      </c>
      <c r="D115" s="21" t="s">
        <v>1414</v>
      </c>
      <c r="E115" s="22">
        <v>75.19</v>
      </c>
      <c r="F115" s="21" t="s">
        <v>471</v>
      </c>
      <c r="G115" s="21"/>
      <c r="H115" s="21"/>
      <c r="I115" s="19" t="s">
        <v>1413</v>
      </c>
      <c r="J115" s="22">
        <f t="shared" si="6"/>
        <v>75.19</v>
      </c>
      <c r="K115" s="22">
        <v>75.19</v>
      </c>
      <c r="L115" s="24">
        <f t="shared" si="7"/>
        <v>0</v>
      </c>
      <c r="M115" s="25"/>
      <c r="N115" s="26"/>
    </row>
    <row r="116" spans="2:14">
      <c r="B116" s="19" t="s">
        <v>1413</v>
      </c>
      <c r="C116" s="20" t="s">
        <v>15</v>
      </c>
      <c r="D116" s="21" t="s">
        <v>1415</v>
      </c>
      <c r="E116" s="22">
        <v>438.28</v>
      </c>
      <c r="F116" s="21" t="s">
        <v>17</v>
      </c>
      <c r="G116" s="21" t="s">
        <v>21</v>
      </c>
      <c r="H116" s="21" t="s">
        <v>1416</v>
      </c>
      <c r="I116" s="19" t="s">
        <v>1413</v>
      </c>
      <c r="J116" s="22">
        <f t="shared" si="6"/>
        <v>438.28</v>
      </c>
      <c r="K116" s="22">
        <v>438.28</v>
      </c>
      <c r="L116" s="24">
        <f t="shared" si="7"/>
        <v>0</v>
      </c>
      <c r="M116" s="25"/>
      <c r="N116" s="26"/>
    </row>
    <row r="117" spans="2:14">
      <c r="B117" s="72" t="s">
        <v>1413</v>
      </c>
      <c r="C117" s="73" t="s">
        <v>15</v>
      </c>
      <c r="D117" s="74" t="s">
        <v>1417</v>
      </c>
      <c r="E117" s="75">
        <v>923.24</v>
      </c>
      <c r="F117" s="74" t="s">
        <v>17</v>
      </c>
      <c r="G117" s="74" t="s">
        <v>21</v>
      </c>
      <c r="H117" s="74" t="s">
        <v>1418</v>
      </c>
      <c r="I117" s="72" t="s">
        <v>1413</v>
      </c>
      <c r="J117" s="75">
        <f t="shared" si="6"/>
        <v>923.24</v>
      </c>
      <c r="K117" s="75">
        <v>500</v>
      </c>
      <c r="L117" s="24">
        <f t="shared" si="7"/>
        <v>423.24</v>
      </c>
      <c r="M117" s="25"/>
      <c r="N117" s="70" t="s">
        <v>23</v>
      </c>
    </row>
    <row r="118" spans="2:14">
      <c r="B118" s="72"/>
      <c r="C118" s="73"/>
      <c r="D118" s="74"/>
      <c r="E118" s="75"/>
      <c r="F118" s="74" t="s">
        <v>17</v>
      </c>
      <c r="G118" s="74" t="s">
        <v>21</v>
      </c>
      <c r="H118" s="74" t="s">
        <v>1419</v>
      </c>
      <c r="I118" s="72" t="s">
        <v>1413</v>
      </c>
      <c r="J118" s="75"/>
      <c r="K118" s="75">
        <v>423.24</v>
      </c>
      <c r="L118" s="24">
        <f t="shared" si="7"/>
        <v>-423.24</v>
      </c>
      <c r="M118" s="25"/>
      <c r="N118" s="31"/>
    </row>
    <row r="119" spans="2:14">
      <c r="B119" s="19" t="s">
        <v>1413</v>
      </c>
      <c r="C119" s="20" t="s">
        <v>64</v>
      </c>
      <c r="D119" s="21" t="s">
        <v>1420</v>
      </c>
      <c r="E119" s="22">
        <v>294.19</v>
      </c>
      <c r="F119" s="21" t="s">
        <v>17</v>
      </c>
      <c r="G119" s="21" t="s">
        <v>21</v>
      </c>
      <c r="H119" s="21" t="s">
        <v>1421</v>
      </c>
      <c r="I119" s="19" t="s">
        <v>1413</v>
      </c>
      <c r="J119" s="22">
        <f>E119</f>
        <v>294.19</v>
      </c>
      <c r="K119" s="22">
        <v>294.19</v>
      </c>
      <c r="L119" s="24">
        <f t="shared" si="7"/>
        <v>0</v>
      </c>
      <c r="M119" s="25"/>
      <c r="N119" s="26"/>
    </row>
    <row r="120" spans="2:14">
      <c r="B120" s="19" t="s">
        <v>1413</v>
      </c>
      <c r="C120" s="20" t="s">
        <v>64</v>
      </c>
      <c r="D120" s="21" t="s">
        <v>1422</v>
      </c>
      <c r="E120" s="22">
        <v>87.66</v>
      </c>
      <c r="F120" s="21" t="s">
        <v>29</v>
      </c>
      <c r="G120" s="21"/>
      <c r="H120" s="21" t="s">
        <v>1423</v>
      </c>
      <c r="I120" s="19" t="s">
        <v>1413</v>
      </c>
      <c r="J120" s="22">
        <f>E120</f>
        <v>87.66</v>
      </c>
      <c r="K120" s="22">
        <v>87.66</v>
      </c>
      <c r="L120" s="24">
        <f t="shared" si="7"/>
        <v>0</v>
      </c>
      <c r="M120" s="25"/>
      <c r="N120" s="26"/>
    </row>
    <row r="121" spans="2:14">
      <c r="B121" s="64" t="s">
        <v>1413</v>
      </c>
      <c r="C121" s="65" t="s">
        <v>15</v>
      </c>
      <c r="D121" s="66" t="s">
        <v>1424</v>
      </c>
      <c r="E121" s="67">
        <v>355.47</v>
      </c>
      <c r="F121" s="66" t="s">
        <v>17</v>
      </c>
      <c r="G121" s="66" t="s">
        <v>21</v>
      </c>
      <c r="H121" s="66" t="s">
        <v>1425</v>
      </c>
      <c r="I121" s="64" t="s">
        <v>1413</v>
      </c>
      <c r="J121" s="67">
        <f>E121</f>
        <v>355.47</v>
      </c>
      <c r="K121" s="67">
        <v>355.47</v>
      </c>
      <c r="L121" s="24">
        <f t="shared" si="7"/>
        <v>0</v>
      </c>
      <c r="M121" s="25"/>
      <c r="N121" s="70" t="s">
        <v>366</v>
      </c>
    </row>
    <row r="122" spans="2:14">
      <c r="B122" s="19" t="s">
        <v>1426</v>
      </c>
      <c r="C122" s="20" t="s">
        <v>15</v>
      </c>
      <c r="D122" s="21" t="s">
        <v>1427</v>
      </c>
      <c r="E122" s="22">
        <v>53.69</v>
      </c>
      <c r="F122" s="21" t="s">
        <v>17</v>
      </c>
      <c r="G122" s="21" t="s">
        <v>21</v>
      </c>
      <c r="H122" s="21" t="s">
        <v>1428</v>
      </c>
      <c r="I122" s="19" t="s">
        <v>1426</v>
      </c>
      <c r="J122" s="22">
        <f>E122</f>
        <v>53.69</v>
      </c>
      <c r="K122" s="22">
        <v>45.5</v>
      </c>
      <c r="L122" s="24">
        <f t="shared" si="7"/>
        <v>8.19</v>
      </c>
      <c r="M122" s="25"/>
      <c r="N122" s="26"/>
    </row>
    <row r="123" spans="2:14">
      <c r="B123" s="19"/>
      <c r="C123" s="20"/>
      <c r="D123" s="21"/>
      <c r="E123" s="22"/>
      <c r="F123" s="21" t="s">
        <v>17</v>
      </c>
      <c r="G123" s="21" t="s">
        <v>21</v>
      </c>
      <c r="H123" s="21" t="s">
        <v>1429</v>
      </c>
      <c r="I123" s="19"/>
      <c r="J123" s="22"/>
      <c r="K123" s="22">
        <v>8.19</v>
      </c>
      <c r="L123" s="24">
        <f t="shared" si="7"/>
        <v>-8.19</v>
      </c>
      <c r="M123" s="25"/>
      <c r="N123" s="26"/>
    </row>
    <row r="124" spans="2:14">
      <c r="B124" s="19" t="s">
        <v>1426</v>
      </c>
      <c r="C124" s="20" t="s">
        <v>15</v>
      </c>
      <c r="D124" s="21" t="s">
        <v>1430</v>
      </c>
      <c r="E124" s="22">
        <v>199.87</v>
      </c>
      <c r="F124" s="21" t="s">
        <v>176</v>
      </c>
      <c r="G124" s="21"/>
      <c r="H124" s="21"/>
      <c r="I124" s="19" t="s">
        <v>1426</v>
      </c>
      <c r="J124" s="22">
        <f t="shared" ref="J124:J148" si="8">E124</f>
        <v>199.87</v>
      </c>
      <c r="K124" s="22">
        <v>199.87</v>
      </c>
      <c r="L124" s="24">
        <f t="shared" ref="L124:L148" si="9">J124-K124</f>
        <v>0</v>
      </c>
      <c r="M124" s="25"/>
      <c r="N124" s="26"/>
    </row>
    <row r="125" spans="2:14">
      <c r="B125" s="19" t="s">
        <v>1426</v>
      </c>
      <c r="C125" s="20" t="s">
        <v>15</v>
      </c>
      <c r="D125" s="21" t="s">
        <v>1431</v>
      </c>
      <c r="E125" s="22">
        <v>323.61</v>
      </c>
      <c r="F125" s="21" t="s">
        <v>17</v>
      </c>
      <c r="G125" s="21" t="s">
        <v>21</v>
      </c>
      <c r="H125" s="21" t="s">
        <v>1432</v>
      </c>
      <c r="I125" s="19" t="s">
        <v>1426</v>
      </c>
      <c r="J125" s="22">
        <f t="shared" si="8"/>
        <v>323.61</v>
      </c>
      <c r="K125" s="22">
        <v>323.61</v>
      </c>
      <c r="L125" s="24">
        <f t="shared" si="9"/>
        <v>0</v>
      </c>
      <c r="M125" s="25"/>
      <c r="N125" s="26"/>
    </row>
    <row r="126" spans="2:14">
      <c r="B126" s="72" t="s">
        <v>1426</v>
      </c>
      <c r="C126" s="73" t="s">
        <v>15</v>
      </c>
      <c r="D126" s="74" t="s">
        <v>1433</v>
      </c>
      <c r="E126" s="75">
        <v>227.45</v>
      </c>
      <c r="F126" s="74" t="s">
        <v>29</v>
      </c>
      <c r="G126" s="74"/>
      <c r="H126" s="74" t="s">
        <v>1434</v>
      </c>
      <c r="I126" s="72" t="s">
        <v>1426</v>
      </c>
      <c r="J126" s="75">
        <f t="shared" si="8"/>
        <v>227.45</v>
      </c>
      <c r="K126" s="75">
        <v>227.45</v>
      </c>
      <c r="L126" s="24">
        <f t="shared" si="9"/>
        <v>0</v>
      </c>
      <c r="M126" s="25"/>
      <c r="N126" s="70" t="s">
        <v>33</v>
      </c>
    </row>
    <row r="127" spans="2:14">
      <c r="B127" s="72" t="s">
        <v>1426</v>
      </c>
      <c r="C127" s="73" t="s">
        <v>15</v>
      </c>
      <c r="D127" s="74" t="s">
        <v>1435</v>
      </c>
      <c r="E127" s="75">
        <v>176.35</v>
      </c>
      <c r="F127" s="74" t="s">
        <v>471</v>
      </c>
      <c r="G127" s="74"/>
      <c r="H127" s="74"/>
      <c r="I127" s="72" t="s">
        <v>1426</v>
      </c>
      <c r="J127" s="75">
        <f t="shared" si="8"/>
        <v>176.35</v>
      </c>
      <c r="K127" s="75">
        <v>176.35</v>
      </c>
      <c r="L127" s="24">
        <f t="shared" si="9"/>
        <v>0</v>
      </c>
      <c r="M127" s="25"/>
      <c r="N127" s="70" t="s">
        <v>23</v>
      </c>
    </row>
    <row r="128" spans="2:14">
      <c r="B128" s="19" t="s">
        <v>1426</v>
      </c>
      <c r="C128" s="20" t="s">
        <v>15</v>
      </c>
      <c r="D128" s="21" t="s">
        <v>1436</v>
      </c>
      <c r="E128" s="22">
        <v>75.19</v>
      </c>
      <c r="F128" s="21" t="s">
        <v>29</v>
      </c>
      <c r="G128" s="21"/>
      <c r="H128" s="21" t="s">
        <v>1437</v>
      </c>
      <c r="I128" s="19" t="s">
        <v>1426</v>
      </c>
      <c r="J128" s="22">
        <f t="shared" si="8"/>
        <v>75.19</v>
      </c>
      <c r="K128" s="22">
        <v>75.19</v>
      </c>
      <c r="L128" s="24">
        <f t="shared" si="9"/>
        <v>0</v>
      </c>
      <c r="M128" s="25"/>
      <c r="N128" s="31"/>
    </row>
    <row r="129" spans="2:14">
      <c r="B129" s="64" t="s">
        <v>1426</v>
      </c>
      <c r="C129" s="65" t="s">
        <v>15</v>
      </c>
      <c r="D129" s="66" t="s">
        <v>1438</v>
      </c>
      <c r="E129" s="67">
        <v>226.94</v>
      </c>
      <c r="F129" s="66" t="s">
        <v>17</v>
      </c>
      <c r="G129" s="66" t="s">
        <v>21</v>
      </c>
      <c r="H129" s="66" t="s">
        <v>1439</v>
      </c>
      <c r="I129" s="64" t="s">
        <v>1426</v>
      </c>
      <c r="J129" s="67">
        <f t="shared" si="8"/>
        <v>226.94</v>
      </c>
      <c r="K129" s="67">
        <v>226.94</v>
      </c>
      <c r="L129" s="24">
        <f t="shared" si="9"/>
        <v>0</v>
      </c>
      <c r="M129" s="25"/>
      <c r="N129" s="70" t="s">
        <v>366</v>
      </c>
    </row>
    <row r="130" spans="2:14">
      <c r="B130" s="56" t="s">
        <v>1426</v>
      </c>
      <c r="C130" s="57" t="s">
        <v>15</v>
      </c>
      <c r="D130" s="58" t="s">
        <v>1440</v>
      </c>
      <c r="E130" s="62">
        <v>1566.22</v>
      </c>
      <c r="F130" s="58" t="s">
        <v>17</v>
      </c>
      <c r="G130" s="58" t="s">
        <v>21</v>
      </c>
      <c r="H130" s="58" t="s">
        <v>1441</v>
      </c>
      <c r="I130" s="56" t="s">
        <v>1426</v>
      </c>
      <c r="J130" s="62">
        <f t="shared" si="8"/>
        <v>1566.22</v>
      </c>
      <c r="K130" s="62">
        <v>1566.22</v>
      </c>
      <c r="L130" s="24">
        <f t="shared" si="9"/>
        <v>0</v>
      </c>
      <c r="M130" s="25"/>
      <c r="N130" s="70" t="s">
        <v>56</v>
      </c>
    </row>
    <row r="131" spans="2:14">
      <c r="B131" s="56" t="s">
        <v>1426</v>
      </c>
      <c r="C131" s="57" t="s">
        <v>15</v>
      </c>
      <c r="D131" s="58" t="s">
        <v>1442</v>
      </c>
      <c r="E131" s="62">
        <v>385.89</v>
      </c>
      <c r="F131" s="58" t="s">
        <v>17</v>
      </c>
      <c r="G131" s="58" t="s">
        <v>21</v>
      </c>
      <c r="H131" s="58" t="s">
        <v>1443</v>
      </c>
      <c r="I131" s="56" t="s">
        <v>1426</v>
      </c>
      <c r="J131" s="62">
        <f t="shared" si="8"/>
        <v>385.89</v>
      </c>
      <c r="K131" s="62">
        <v>385.89</v>
      </c>
      <c r="L131" s="24">
        <f t="shared" si="9"/>
        <v>0</v>
      </c>
      <c r="M131" s="25"/>
      <c r="N131" s="70" t="s">
        <v>56</v>
      </c>
    </row>
    <row r="132" spans="2:14">
      <c r="B132" s="19" t="s">
        <v>1444</v>
      </c>
      <c r="C132" s="20" t="s">
        <v>15</v>
      </c>
      <c r="D132" s="21" t="s">
        <v>1445</v>
      </c>
      <c r="E132" s="22">
        <v>222.12</v>
      </c>
      <c r="F132" s="21" t="s">
        <v>17</v>
      </c>
      <c r="G132" s="21" t="s">
        <v>21</v>
      </c>
      <c r="H132" s="21" t="s">
        <v>1446</v>
      </c>
      <c r="I132" s="19" t="s">
        <v>1444</v>
      </c>
      <c r="J132" s="22">
        <f t="shared" si="8"/>
        <v>222.12</v>
      </c>
      <c r="K132" s="22">
        <v>222.12</v>
      </c>
      <c r="L132" s="24">
        <f t="shared" si="9"/>
        <v>0</v>
      </c>
      <c r="M132" s="25"/>
      <c r="N132" s="26"/>
    </row>
    <row r="133" spans="2:14">
      <c r="B133" s="19" t="s">
        <v>1444</v>
      </c>
      <c r="C133" s="20" t="s">
        <v>15</v>
      </c>
      <c r="D133" s="21" t="s">
        <v>1447</v>
      </c>
      <c r="E133" s="22">
        <v>746.79</v>
      </c>
      <c r="F133" s="21" t="s">
        <v>17</v>
      </c>
      <c r="G133" s="21" t="s">
        <v>21</v>
      </c>
      <c r="H133" s="21" t="s">
        <v>1448</v>
      </c>
      <c r="I133" s="19" t="s">
        <v>1444</v>
      </c>
      <c r="J133" s="22">
        <f t="shared" si="8"/>
        <v>746.79</v>
      </c>
      <c r="K133" s="22">
        <v>746.79</v>
      </c>
      <c r="L133" s="24">
        <f t="shared" si="9"/>
        <v>0</v>
      </c>
      <c r="M133" s="25"/>
      <c r="N133" s="26"/>
    </row>
    <row r="134" spans="2:14">
      <c r="B134" s="19" t="s">
        <v>1444</v>
      </c>
      <c r="C134" s="20" t="s">
        <v>15</v>
      </c>
      <c r="D134" s="21" t="s">
        <v>1449</v>
      </c>
      <c r="E134" s="22">
        <v>736.9</v>
      </c>
      <c r="F134" s="21" t="s">
        <v>17</v>
      </c>
      <c r="G134" s="21" t="s">
        <v>21</v>
      </c>
      <c r="H134" s="21" t="s">
        <v>1450</v>
      </c>
      <c r="I134" s="19" t="s">
        <v>1444</v>
      </c>
      <c r="J134" s="22">
        <f t="shared" si="8"/>
        <v>736.9</v>
      </c>
      <c r="K134" s="22">
        <v>736.9</v>
      </c>
      <c r="L134" s="24">
        <f t="shared" si="9"/>
        <v>0</v>
      </c>
      <c r="M134" s="25"/>
      <c r="N134" s="26"/>
    </row>
    <row r="135" spans="2:14">
      <c r="B135" s="19" t="s">
        <v>1444</v>
      </c>
      <c r="C135" s="20" t="s">
        <v>15</v>
      </c>
      <c r="D135" s="21" t="s">
        <v>1451</v>
      </c>
      <c r="E135" s="22">
        <v>654.16</v>
      </c>
      <c r="F135" s="21" t="s">
        <v>29</v>
      </c>
      <c r="G135" s="21"/>
      <c r="H135" s="21" t="s">
        <v>1452</v>
      </c>
      <c r="I135" s="19" t="s">
        <v>1444</v>
      </c>
      <c r="J135" s="22">
        <f t="shared" si="8"/>
        <v>654.16</v>
      </c>
      <c r="K135" s="22">
        <v>1308.32</v>
      </c>
      <c r="L135" s="24">
        <f t="shared" si="9"/>
        <v>-654.16</v>
      </c>
      <c r="M135" s="25"/>
      <c r="N135" s="31"/>
    </row>
    <row r="136" spans="2:14">
      <c r="B136" s="19" t="s">
        <v>1444</v>
      </c>
      <c r="C136" s="20" t="s">
        <v>15</v>
      </c>
      <c r="D136" s="21" t="s">
        <v>1453</v>
      </c>
      <c r="E136" s="22">
        <v>654.16</v>
      </c>
      <c r="F136" s="21" t="s">
        <v>29</v>
      </c>
      <c r="G136" s="21"/>
      <c r="H136" s="21" t="s">
        <v>1452</v>
      </c>
      <c r="I136" s="19" t="s">
        <v>1444</v>
      </c>
      <c r="J136" s="22">
        <f t="shared" si="8"/>
        <v>654.16</v>
      </c>
      <c r="K136" s="22"/>
      <c r="L136" s="24">
        <f t="shared" si="9"/>
        <v>654.16</v>
      </c>
      <c r="M136" s="25"/>
      <c r="N136" s="31"/>
    </row>
    <row r="137" spans="2:14">
      <c r="B137" s="19" t="s">
        <v>1444</v>
      </c>
      <c r="C137" s="20" t="s">
        <v>15</v>
      </c>
      <c r="D137" s="21" t="s">
        <v>1454</v>
      </c>
      <c r="E137" s="22">
        <v>483.96</v>
      </c>
      <c r="F137" s="21" t="s">
        <v>17</v>
      </c>
      <c r="G137" s="21" t="s">
        <v>21</v>
      </c>
      <c r="H137" s="21">
        <v>2041040</v>
      </c>
      <c r="I137" s="19" t="s">
        <v>1444</v>
      </c>
      <c r="J137" s="22">
        <f t="shared" si="8"/>
        <v>483.96</v>
      </c>
      <c r="K137" s="22">
        <v>483.96</v>
      </c>
      <c r="L137" s="24">
        <f t="shared" si="9"/>
        <v>0</v>
      </c>
      <c r="M137" s="25"/>
      <c r="N137" s="26"/>
    </row>
    <row r="138" spans="2:14">
      <c r="B138" s="19" t="s">
        <v>1444</v>
      </c>
      <c r="C138" s="20" t="s">
        <v>15</v>
      </c>
      <c r="D138" s="21" t="s">
        <v>1455</v>
      </c>
      <c r="E138" s="22">
        <v>736.24</v>
      </c>
      <c r="F138" s="21" t="s">
        <v>17</v>
      </c>
      <c r="G138" s="21" t="s">
        <v>21</v>
      </c>
      <c r="H138" s="21">
        <v>2061148</v>
      </c>
      <c r="I138" s="19" t="s">
        <v>1444</v>
      </c>
      <c r="J138" s="22">
        <f t="shared" ref="J129:J187" si="10">E138</f>
        <v>736.24</v>
      </c>
      <c r="K138" s="22">
        <v>736.24</v>
      </c>
      <c r="L138" s="24">
        <f t="shared" ref="L129:L187" si="11">J138-K138</f>
        <v>0</v>
      </c>
      <c r="M138" s="25"/>
      <c r="N138" s="26"/>
    </row>
    <row r="139" spans="2:14">
      <c r="B139" s="19" t="s">
        <v>1444</v>
      </c>
      <c r="C139" s="20" t="s">
        <v>15</v>
      </c>
      <c r="D139" s="21" t="s">
        <v>1456</v>
      </c>
      <c r="E139" s="22">
        <v>309.45</v>
      </c>
      <c r="F139" s="21" t="s">
        <v>29</v>
      </c>
      <c r="G139" s="21"/>
      <c r="H139" s="21" t="s">
        <v>1457</v>
      </c>
      <c r="I139" s="19" t="s">
        <v>1444</v>
      </c>
      <c r="J139" s="22">
        <f t="shared" si="10"/>
        <v>309.45</v>
      </c>
      <c r="K139" s="22">
        <v>309.45</v>
      </c>
      <c r="L139" s="24">
        <f t="shared" si="11"/>
        <v>0</v>
      </c>
      <c r="M139" s="25"/>
      <c r="N139" s="26"/>
    </row>
    <row r="140" spans="2:14">
      <c r="B140" s="19" t="s">
        <v>1444</v>
      </c>
      <c r="C140" s="20" t="s">
        <v>15</v>
      </c>
      <c r="D140" s="21" t="s">
        <v>1458</v>
      </c>
      <c r="E140" s="22">
        <v>8665.92</v>
      </c>
      <c r="F140" s="21" t="s">
        <v>17</v>
      </c>
      <c r="G140" s="21" t="s">
        <v>18</v>
      </c>
      <c r="H140" s="21" t="s">
        <v>1459</v>
      </c>
      <c r="I140" s="19" t="s">
        <v>1444</v>
      </c>
      <c r="J140" s="22">
        <f t="shared" si="10"/>
        <v>8665.92</v>
      </c>
      <c r="K140" s="22">
        <v>8665.92</v>
      </c>
      <c r="L140" s="24">
        <f t="shared" si="11"/>
        <v>0</v>
      </c>
      <c r="M140" s="25"/>
      <c r="N140" s="26"/>
    </row>
    <row r="141" spans="2:14">
      <c r="B141" s="19" t="s">
        <v>1460</v>
      </c>
      <c r="C141" s="20" t="s">
        <v>15</v>
      </c>
      <c r="D141" s="21" t="s">
        <v>1461</v>
      </c>
      <c r="E141" s="22">
        <v>87.66</v>
      </c>
      <c r="F141" s="21" t="s">
        <v>17</v>
      </c>
      <c r="G141" s="21"/>
      <c r="H141" s="21"/>
      <c r="I141" s="19" t="s">
        <v>1460</v>
      </c>
      <c r="J141" s="22">
        <f t="shared" si="10"/>
        <v>87.66</v>
      </c>
      <c r="K141" s="22">
        <v>87.66</v>
      </c>
      <c r="L141" s="24">
        <f t="shared" si="11"/>
        <v>0</v>
      </c>
      <c r="M141" s="25"/>
      <c r="N141" s="26"/>
    </row>
    <row r="142" spans="2:14">
      <c r="B142" s="72" t="s">
        <v>1460</v>
      </c>
      <c r="C142" s="73" t="s">
        <v>15</v>
      </c>
      <c r="D142" s="74" t="s">
        <v>1462</v>
      </c>
      <c r="E142" s="75">
        <v>327.08</v>
      </c>
      <c r="F142" s="74" t="s">
        <v>1463</v>
      </c>
      <c r="G142" s="74"/>
      <c r="H142" s="74" t="s">
        <v>1464</v>
      </c>
      <c r="I142" s="72" t="s">
        <v>1460</v>
      </c>
      <c r="J142" s="75">
        <f t="shared" si="10"/>
        <v>327.08</v>
      </c>
      <c r="K142" s="75">
        <v>327.08</v>
      </c>
      <c r="L142" s="24">
        <f t="shared" si="11"/>
        <v>0</v>
      </c>
      <c r="M142" s="25"/>
      <c r="N142" s="70" t="s">
        <v>33</v>
      </c>
    </row>
    <row r="143" spans="2:14">
      <c r="B143" s="72" t="s">
        <v>1460</v>
      </c>
      <c r="C143" s="73" t="s">
        <v>15</v>
      </c>
      <c r="D143" s="74" t="s">
        <v>1465</v>
      </c>
      <c r="E143" s="75">
        <v>483.96</v>
      </c>
      <c r="F143" s="74" t="s">
        <v>17</v>
      </c>
      <c r="G143" s="74" t="s">
        <v>21</v>
      </c>
      <c r="H143" s="74">
        <v>2041040</v>
      </c>
      <c r="I143" s="72" t="s">
        <v>1460</v>
      </c>
      <c r="J143" s="75">
        <f t="shared" si="10"/>
        <v>483.96</v>
      </c>
      <c r="K143" s="75">
        <v>483.96</v>
      </c>
      <c r="L143" s="24">
        <f t="shared" si="11"/>
        <v>0</v>
      </c>
      <c r="M143" s="25"/>
      <c r="N143" s="70" t="s">
        <v>33</v>
      </c>
    </row>
    <row r="144" spans="2:14">
      <c r="B144" s="72" t="s">
        <v>1460</v>
      </c>
      <c r="C144" s="73" t="s">
        <v>15</v>
      </c>
      <c r="D144" s="74" t="s">
        <v>1466</v>
      </c>
      <c r="E144" s="75">
        <v>348.88</v>
      </c>
      <c r="F144" s="74" t="s">
        <v>17</v>
      </c>
      <c r="G144" s="74" t="s">
        <v>21</v>
      </c>
      <c r="H144" s="74" t="s">
        <v>1467</v>
      </c>
      <c r="I144" s="72" t="s">
        <v>1460</v>
      </c>
      <c r="J144" s="75">
        <f t="shared" si="10"/>
        <v>348.88</v>
      </c>
      <c r="K144" s="75">
        <v>348.88</v>
      </c>
      <c r="L144" s="24">
        <f t="shared" si="11"/>
        <v>0</v>
      </c>
      <c r="M144" s="25"/>
      <c r="N144" s="70" t="s">
        <v>33</v>
      </c>
    </row>
    <row r="145" spans="1:14">
      <c r="B145" s="72" t="s">
        <v>1460</v>
      </c>
      <c r="C145" s="73" t="s">
        <v>15</v>
      </c>
      <c r="D145" s="74" t="s">
        <v>1468</v>
      </c>
      <c r="E145" s="75">
        <v>164.16</v>
      </c>
      <c r="F145" s="74" t="s">
        <v>17</v>
      </c>
      <c r="G145" s="74" t="s">
        <v>21</v>
      </c>
      <c r="H145" s="74" t="s">
        <v>1469</v>
      </c>
      <c r="I145" s="72" t="s">
        <v>1460</v>
      </c>
      <c r="J145" s="75">
        <f t="shared" si="10"/>
        <v>164.16</v>
      </c>
      <c r="K145" s="75">
        <v>164.16</v>
      </c>
      <c r="L145" s="24">
        <f t="shared" si="11"/>
        <v>0</v>
      </c>
      <c r="M145" s="25"/>
      <c r="N145" s="70" t="s">
        <v>23</v>
      </c>
    </row>
    <row r="146" spans="1:14">
      <c r="B146" s="19" t="s">
        <v>1460</v>
      </c>
      <c r="C146" s="20" t="s">
        <v>15</v>
      </c>
      <c r="D146" s="21" t="s">
        <v>1470</v>
      </c>
      <c r="E146" s="22">
        <v>480.65</v>
      </c>
      <c r="F146" s="21" t="s">
        <v>1471</v>
      </c>
      <c r="G146" s="21"/>
      <c r="H146" s="21"/>
      <c r="I146" s="19" t="s">
        <v>1460</v>
      </c>
      <c r="J146" s="22">
        <f t="shared" si="10"/>
        <v>480.65</v>
      </c>
      <c r="K146" s="22">
        <v>339.95</v>
      </c>
      <c r="L146" s="24">
        <f t="shared" si="11"/>
        <v>140.7</v>
      </c>
      <c r="M146" s="25"/>
      <c r="N146" s="26"/>
    </row>
    <row r="147" spans="1:14">
      <c r="B147" s="34"/>
      <c r="C147" s="20"/>
      <c r="D147" s="21"/>
      <c r="E147" s="22"/>
      <c r="F147" s="21" t="s">
        <v>17</v>
      </c>
      <c r="G147" s="21" t="s">
        <v>21</v>
      </c>
      <c r="H147" s="21" t="s">
        <v>1472</v>
      </c>
      <c r="I147" s="19" t="s">
        <v>1460</v>
      </c>
      <c r="J147" s="22">
        <f t="shared" si="10"/>
        <v>0</v>
      </c>
      <c r="K147" s="22">
        <v>141.01</v>
      </c>
      <c r="L147" s="24">
        <f t="shared" si="11"/>
        <v>-141.01</v>
      </c>
      <c r="M147" s="25"/>
      <c r="N147" s="26"/>
    </row>
    <row r="148" spans="1:14">
      <c r="B148" s="56" t="s">
        <v>1460</v>
      </c>
      <c r="C148" s="57" t="s">
        <v>15</v>
      </c>
      <c r="D148" s="58" t="s">
        <v>1473</v>
      </c>
      <c r="E148" s="62">
        <v>904.28</v>
      </c>
      <c r="F148" s="58" t="s">
        <v>17</v>
      </c>
      <c r="G148" s="58" t="s">
        <v>21</v>
      </c>
      <c r="H148" s="58" t="s">
        <v>1474</v>
      </c>
      <c r="I148" s="56" t="s">
        <v>1460</v>
      </c>
      <c r="J148" s="62">
        <f t="shared" si="10"/>
        <v>904.28</v>
      </c>
      <c r="K148" s="62">
        <v>904.28</v>
      </c>
      <c r="L148" s="24">
        <f t="shared" si="11"/>
        <v>0</v>
      </c>
      <c r="M148" s="25"/>
      <c r="N148" s="70" t="s">
        <v>56</v>
      </c>
    </row>
    <row r="149" spans="1:14">
      <c r="B149" s="19"/>
      <c r="C149" s="20"/>
      <c r="D149" s="21"/>
      <c r="E149" s="22"/>
      <c r="F149" s="21" t="s">
        <v>71</v>
      </c>
      <c r="G149" s="21"/>
      <c r="H149" s="21"/>
      <c r="I149" s="34"/>
      <c r="J149" s="22">
        <f t="shared" si="10"/>
        <v>0</v>
      </c>
      <c r="K149" s="22"/>
      <c r="L149" s="24">
        <f t="shared" si="11"/>
        <v>0</v>
      </c>
      <c r="M149" s="25"/>
      <c r="N149" s="31"/>
    </row>
    <row r="150" spans="1:14">
      <c r="B150" s="56" t="s">
        <v>1460</v>
      </c>
      <c r="C150" s="57" t="s">
        <v>15</v>
      </c>
      <c r="D150" s="58" t="s">
        <v>1475</v>
      </c>
      <c r="E150" s="62">
        <v>1204.71</v>
      </c>
      <c r="F150" s="58" t="s">
        <v>17</v>
      </c>
      <c r="G150" s="58" t="s">
        <v>21</v>
      </c>
      <c r="H150" s="58" t="s">
        <v>1476</v>
      </c>
      <c r="I150" s="56" t="s">
        <v>1460</v>
      </c>
      <c r="J150" s="62">
        <f t="shared" si="10"/>
        <v>1204.71</v>
      </c>
      <c r="K150" s="62">
        <v>1204.71</v>
      </c>
      <c r="L150" s="24">
        <f t="shared" si="11"/>
        <v>0</v>
      </c>
      <c r="M150" s="25"/>
      <c r="N150" s="70" t="s">
        <v>56</v>
      </c>
    </row>
    <row r="151" spans="1:14">
      <c r="A151" s="32"/>
      <c r="B151" s="34"/>
      <c r="C151" s="20"/>
      <c r="D151" s="21"/>
      <c r="E151" s="22"/>
      <c r="F151" s="21" t="s">
        <v>71</v>
      </c>
      <c r="G151" s="21"/>
      <c r="H151" s="21"/>
      <c r="I151" s="34"/>
      <c r="J151" s="22">
        <f t="shared" si="10"/>
        <v>0</v>
      </c>
      <c r="K151" s="22"/>
      <c r="L151" s="24">
        <f t="shared" si="11"/>
        <v>0</v>
      </c>
      <c r="M151" s="25"/>
      <c r="N151" s="26"/>
    </row>
    <row r="152" spans="1:14">
      <c r="A152" s="33"/>
      <c r="B152" s="56" t="s">
        <v>1460</v>
      </c>
      <c r="C152" s="57" t="s">
        <v>15</v>
      </c>
      <c r="D152" s="58" t="s">
        <v>1477</v>
      </c>
      <c r="E152" s="62">
        <v>904.28</v>
      </c>
      <c r="F152" s="58" t="s">
        <v>17</v>
      </c>
      <c r="G152" s="58" t="s">
        <v>21</v>
      </c>
      <c r="H152" s="58" t="s">
        <v>1478</v>
      </c>
      <c r="I152" s="56" t="s">
        <v>1460</v>
      </c>
      <c r="J152" s="62">
        <f t="shared" si="10"/>
        <v>904.28</v>
      </c>
      <c r="K152" s="62">
        <v>904.28</v>
      </c>
      <c r="L152" s="24">
        <f t="shared" si="11"/>
        <v>0</v>
      </c>
      <c r="M152" s="25"/>
      <c r="N152" s="70" t="s">
        <v>56</v>
      </c>
    </row>
    <row r="153" spans="1:14">
      <c r="B153" s="34"/>
      <c r="C153" s="20"/>
      <c r="D153" s="21"/>
      <c r="E153" s="22"/>
      <c r="F153" s="21" t="s">
        <v>71</v>
      </c>
      <c r="G153" s="21"/>
      <c r="H153" s="21"/>
      <c r="I153" s="34"/>
      <c r="J153" s="22">
        <f t="shared" si="10"/>
        <v>0</v>
      </c>
      <c r="K153" s="22"/>
      <c r="L153" s="24">
        <f t="shared" si="11"/>
        <v>0</v>
      </c>
      <c r="M153" s="25"/>
      <c r="N153" s="26"/>
    </row>
    <row r="154" spans="1:14">
      <c r="B154" s="84" t="s">
        <v>1479</v>
      </c>
      <c r="C154" s="73" t="s">
        <v>15</v>
      </c>
      <c r="D154" s="74" t="s">
        <v>1480</v>
      </c>
      <c r="E154" s="75">
        <v>159.13</v>
      </c>
      <c r="F154" s="74" t="s">
        <v>17</v>
      </c>
      <c r="G154" s="74" t="s">
        <v>21</v>
      </c>
      <c r="H154" s="74" t="s">
        <v>1481</v>
      </c>
      <c r="I154" s="84" t="s">
        <v>1479</v>
      </c>
      <c r="J154" s="75">
        <f t="shared" si="10"/>
        <v>159.13</v>
      </c>
      <c r="K154" s="75">
        <v>159.13</v>
      </c>
      <c r="L154" s="24">
        <f t="shared" si="11"/>
        <v>0</v>
      </c>
      <c r="M154" s="25"/>
      <c r="N154" s="70" t="s">
        <v>23</v>
      </c>
    </row>
    <row r="155" spans="1:14">
      <c r="B155" s="34" t="s">
        <v>1479</v>
      </c>
      <c r="C155" s="20" t="s">
        <v>15</v>
      </c>
      <c r="D155" s="21" t="s">
        <v>1482</v>
      </c>
      <c r="E155" s="22">
        <v>1083.81</v>
      </c>
      <c r="F155" s="21" t="s">
        <v>17</v>
      </c>
      <c r="G155" s="21" t="s">
        <v>18</v>
      </c>
      <c r="H155" s="21" t="s">
        <v>1483</v>
      </c>
      <c r="I155" s="34" t="s">
        <v>1479</v>
      </c>
      <c r="J155" s="22">
        <f t="shared" si="10"/>
        <v>1083.81</v>
      </c>
      <c r="K155" s="22">
        <v>1083.81</v>
      </c>
      <c r="L155" s="24">
        <f t="shared" si="11"/>
        <v>0</v>
      </c>
      <c r="M155" s="25"/>
      <c r="N155" s="26"/>
    </row>
    <row r="156" spans="1:14">
      <c r="B156" s="34" t="s">
        <v>1479</v>
      </c>
      <c r="C156" s="20" t="s">
        <v>15</v>
      </c>
      <c r="D156" s="21" t="s">
        <v>1484</v>
      </c>
      <c r="E156" s="22">
        <v>717.17</v>
      </c>
      <c r="F156" s="21" t="s">
        <v>17</v>
      </c>
      <c r="G156" s="21" t="s">
        <v>18</v>
      </c>
      <c r="H156" s="21" t="s">
        <v>1485</v>
      </c>
      <c r="I156" s="34" t="s">
        <v>1479</v>
      </c>
      <c r="J156" s="22">
        <f t="shared" si="10"/>
        <v>717.17</v>
      </c>
      <c r="K156" s="22">
        <v>717.17</v>
      </c>
      <c r="L156" s="24">
        <f t="shared" si="11"/>
        <v>0</v>
      </c>
      <c r="M156" s="25"/>
      <c r="N156" s="26"/>
    </row>
    <row r="157" spans="1:14">
      <c r="B157" s="34" t="s">
        <v>1486</v>
      </c>
      <c r="C157" s="20" t="s">
        <v>15</v>
      </c>
      <c r="D157" s="21" t="s">
        <v>1487</v>
      </c>
      <c r="E157" s="22">
        <v>438.41</v>
      </c>
      <c r="F157" s="21" t="s">
        <v>29</v>
      </c>
      <c r="G157" s="21"/>
      <c r="H157" s="21" t="s">
        <v>1488</v>
      </c>
      <c r="I157" s="34" t="s">
        <v>1486</v>
      </c>
      <c r="J157" s="22">
        <f t="shared" si="10"/>
        <v>438.41</v>
      </c>
      <c r="K157" s="22">
        <v>438.41</v>
      </c>
      <c r="L157" s="24">
        <f t="shared" si="11"/>
        <v>0</v>
      </c>
      <c r="M157" s="25"/>
      <c r="N157" s="26"/>
    </row>
    <row r="158" spans="1:14">
      <c r="B158" s="84" t="s">
        <v>1486</v>
      </c>
      <c r="C158" s="73" t="s">
        <v>15</v>
      </c>
      <c r="D158" s="74" t="s">
        <v>1489</v>
      </c>
      <c r="E158" s="75">
        <v>107.45</v>
      </c>
      <c r="F158" s="74" t="s">
        <v>17</v>
      </c>
      <c r="G158" s="74" t="s">
        <v>18</v>
      </c>
      <c r="H158" s="74" t="s">
        <v>1490</v>
      </c>
      <c r="I158" s="84" t="s">
        <v>1486</v>
      </c>
      <c r="J158" s="75">
        <f t="shared" si="10"/>
        <v>107.45</v>
      </c>
      <c r="K158" s="75">
        <v>107.45</v>
      </c>
      <c r="L158" s="24">
        <f t="shared" si="11"/>
        <v>0</v>
      </c>
      <c r="M158" s="25"/>
      <c r="N158" s="26"/>
    </row>
    <row r="159" spans="1:14">
      <c r="B159" s="84" t="s">
        <v>1486</v>
      </c>
      <c r="C159" s="73" t="s">
        <v>15</v>
      </c>
      <c r="D159" s="74" t="s">
        <v>1491</v>
      </c>
      <c r="E159" s="75">
        <v>163.54</v>
      </c>
      <c r="F159" s="74" t="s">
        <v>29</v>
      </c>
      <c r="G159" s="74"/>
      <c r="H159" s="74" t="s">
        <v>1492</v>
      </c>
      <c r="I159" s="84" t="s">
        <v>1486</v>
      </c>
      <c r="J159" s="75">
        <f t="shared" si="10"/>
        <v>163.54</v>
      </c>
      <c r="K159" s="75">
        <v>163.54</v>
      </c>
      <c r="L159" s="24">
        <f t="shared" si="11"/>
        <v>0</v>
      </c>
      <c r="M159" s="25"/>
      <c r="N159" s="31"/>
    </row>
    <row r="160" spans="1:14">
      <c r="B160" s="84" t="s">
        <v>1486</v>
      </c>
      <c r="C160" s="73" t="s">
        <v>15</v>
      </c>
      <c r="D160" s="74" t="s">
        <v>1493</v>
      </c>
      <c r="E160" s="75">
        <v>65.74</v>
      </c>
      <c r="F160" s="74" t="s">
        <v>17</v>
      </c>
      <c r="G160" s="74" t="s">
        <v>21</v>
      </c>
      <c r="H160" s="74" t="s">
        <v>1494</v>
      </c>
      <c r="I160" s="84" t="s">
        <v>1486</v>
      </c>
      <c r="J160" s="75">
        <f t="shared" si="10"/>
        <v>65.74</v>
      </c>
      <c r="K160" s="75">
        <v>65.74</v>
      </c>
      <c r="L160" s="24">
        <f t="shared" si="11"/>
        <v>0</v>
      </c>
      <c r="M160" s="25"/>
      <c r="N160" s="26"/>
    </row>
    <row r="161" spans="2:14">
      <c r="B161" s="84" t="s">
        <v>1486</v>
      </c>
      <c r="C161" s="73" t="s">
        <v>15</v>
      </c>
      <c r="D161" s="74" t="s">
        <v>1495</v>
      </c>
      <c r="E161" s="75">
        <v>148.13</v>
      </c>
      <c r="F161" s="74" t="s">
        <v>17</v>
      </c>
      <c r="G161" s="74" t="s">
        <v>21</v>
      </c>
      <c r="H161" s="74" t="s">
        <v>1496</v>
      </c>
      <c r="I161" s="84" t="s">
        <v>1486</v>
      </c>
      <c r="J161" s="75">
        <f t="shared" si="10"/>
        <v>148.13</v>
      </c>
      <c r="K161" s="75">
        <v>148.13</v>
      </c>
      <c r="L161" s="24">
        <f t="shared" si="11"/>
        <v>0</v>
      </c>
      <c r="M161" s="25"/>
      <c r="N161" s="31"/>
    </row>
    <row r="162" spans="2:14">
      <c r="B162" s="84"/>
      <c r="C162" s="73"/>
      <c r="D162" s="74"/>
      <c r="E162" s="75"/>
      <c r="F162" s="74" t="s">
        <v>17</v>
      </c>
      <c r="G162" s="74" t="s">
        <v>21</v>
      </c>
      <c r="H162" s="74" t="s">
        <v>1497</v>
      </c>
      <c r="I162" s="84"/>
      <c r="J162" s="75">
        <f t="shared" si="10"/>
        <v>0</v>
      </c>
      <c r="K162" s="75"/>
      <c r="L162" s="24">
        <f t="shared" si="11"/>
        <v>0</v>
      </c>
      <c r="M162" s="25"/>
      <c r="N162" s="26"/>
    </row>
    <row r="163" spans="2:14">
      <c r="B163" s="34" t="s">
        <v>1498</v>
      </c>
      <c r="C163" s="20" t="s">
        <v>15</v>
      </c>
      <c r="D163" s="21" t="s">
        <v>1499</v>
      </c>
      <c r="E163" s="22">
        <v>188.67</v>
      </c>
      <c r="F163" s="21" t="s">
        <v>17</v>
      </c>
      <c r="G163" s="21" t="s">
        <v>21</v>
      </c>
      <c r="H163" s="21" t="s">
        <v>1500</v>
      </c>
      <c r="I163" s="34" t="s">
        <v>1498</v>
      </c>
      <c r="J163" s="22">
        <f t="shared" si="10"/>
        <v>188.67</v>
      </c>
      <c r="K163" s="22">
        <v>188.67</v>
      </c>
      <c r="L163" s="24">
        <f t="shared" si="11"/>
        <v>0</v>
      </c>
      <c r="M163" s="25"/>
      <c r="N163" s="31"/>
    </row>
    <row r="164" spans="2:14">
      <c r="B164" s="34" t="s">
        <v>1498</v>
      </c>
      <c r="C164" s="20" t="s">
        <v>15</v>
      </c>
      <c r="D164" s="21" t="s">
        <v>1501</v>
      </c>
      <c r="E164" s="22">
        <v>398.8</v>
      </c>
      <c r="F164" s="21" t="s">
        <v>17</v>
      </c>
      <c r="G164" s="21" t="s">
        <v>21</v>
      </c>
      <c r="H164" s="21" t="s">
        <v>1502</v>
      </c>
      <c r="I164" s="34" t="s">
        <v>1498</v>
      </c>
      <c r="J164" s="22">
        <f t="shared" si="10"/>
        <v>398.8</v>
      </c>
      <c r="K164" s="22">
        <v>398.8</v>
      </c>
      <c r="L164" s="24">
        <f t="shared" si="11"/>
        <v>0</v>
      </c>
      <c r="M164" s="25"/>
      <c r="N164" s="26"/>
    </row>
    <row r="165" spans="2:14">
      <c r="B165" s="84" t="s">
        <v>1498</v>
      </c>
      <c r="C165" s="73" t="s">
        <v>15</v>
      </c>
      <c r="D165" s="74" t="s">
        <v>1503</v>
      </c>
      <c r="E165" s="75">
        <v>205.86</v>
      </c>
      <c r="F165" s="74" t="s">
        <v>29</v>
      </c>
      <c r="G165" s="74"/>
      <c r="H165" s="74" t="s">
        <v>1504</v>
      </c>
      <c r="I165" s="84" t="s">
        <v>1498</v>
      </c>
      <c r="J165" s="75">
        <f t="shared" si="10"/>
        <v>205.86</v>
      </c>
      <c r="K165" s="75">
        <v>205.86</v>
      </c>
      <c r="L165" s="24">
        <f t="shared" si="11"/>
        <v>0</v>
      </c>
      <c r="M165" s="25"/>
      <c r="N165" s="70" t="s">
        <v>23</v>
      </c>
    </row>
    <row r="166" spans="2:14">
      <c r="B166" s="34" t="s">
        <v>1498</v>
      </c>
      <c r="C166" s="20" t="s">
        <v>15</v>
      </c>
      <c r="D166" s="21" t="s">
        <v>1505</v>
      </c>
      <c r="E166" s="22">
        <v>3183.76</v>
      </c>
      <c r="F166" s="21" t="s">
        <v>17</v>
      </c>
      <c r="G166" s="21" t="s">
        <v>18</v>
      </c>
      <c r="H166" s="21" t="s">
        <v>1506</v>
      </c>
      <c r="I166" s="34" t="s">
        <v>1498</v>
      </c>
      <c r="J166" s="22">
        <f t="shared" si="10"/>
        <v>3183.76</v>
      </c>
      <c r="K166" s="22">
        <v>3183.76</v>
      </c>
      <c r="L166" s="24">
        <f t="shared" si="11"/>
        <v>0</v>
      </c>
      <c r="M166" s="25"/>
      <c r="N166" s="31"/>
    </row>
    <row r="167" spans="2:14">
      <c r="B167" s="34"/>
      <c r="C167" s="20"/>
      <c r="D167" s="21"/>
      <c r="E167" s="22"/>
      <c r="F167" s="21" t="s">
        <v>71</v>
      </c>
      <c r="G167" s="21"/>
      <c r="H167" s="21"/>
      <c r="I167" s="34"/>
      <c r="J167" s="22"/>
      <c r="K167" s="22"/>
      <c r="L167" s="24"/>
      <c r="M167" s="25"/>
      <c r="N167" s="31"/>
    </row>
    <row r="168" spans="2:14">
      <c r="B168" s="84" t="s">
        <v>1498</v>
      </c>
      <c r="C168" s="73" t="s">
        <v>15</v>
      </c>
      <c r="D168" s="74" t="s">
        <v>1507</v>
      </c>
      <c r="E168" s="75">
        <v>135.98</v>
      </c>
      <c r="F168" s="74" t="s">
        <v>17</v>
      </c>
      <c r="G168" s="74" t="s">
        <v>37</v>
      </c>
      <c r="H168" s="74" t="s">
        <v>1508</v>
      </c>
      <c r="I168" s="84" t="s">
        <v>1498</v>
      </c>
      <c r="J168" s="75">
        <f t="shared" ref="J168:J189" si="12">E168</f>
        <v>135.98</v>
      </c>
      <c r="K168" s="75">
        <v>135.98</v>
      </c>
      <c r="L168" s="24">
        <f t="shared" ref="L168:L189" si="13">J168-K168</f>
        <v>0</v>
      </c>
      <c r="M168" s="25"/>
      <c r="N168" s="70" t="s">
        <v>60</v>
      </c>
    </row>
    <row r="169" spans="2:14">
      <c r="B169" s="84" t="s">
        <v>1498</v>
      </c>
      <c r="C169" s="73" t="s">
        <v>15</v>
      </c>
      <c r="D169" s="74" t="s">
        <v>1509</v>
      </c>
      <c r="E169" s="75">
        <v>381.46</v>
      </c>
      <c r="F169" s="74" t="s">
        <v>17</v>
      </c>
      <c r="G169" s="74" t="s">
        <v>21</v>
      </c>
      <c r="H169" s="74" t="s">
        <v>1510</v>
      </c>
      <c r="I169" s="84" t="s">
        <v>1498</v>
      </c>
      <c r="J169" s="75">
        <f t="shared" si="12"/>
        <v>381.46</v>
      </c>
      <c r="K169" s="75">
        <v>381.46</v>
      </c>
      <c r="L169" s="24">
        <f t="shared" si="13"/>
        <v>0</v>
      </c>
      <c r="M169" s="35"/>
      <c r="N169" s="70" t="s">
        <v>33</v>
      </c>
    </row>
    <row r="170" spans="2:14">
      <c r="B170" s="84" t="s">
        <v>1498</v>
      </c>
      <c r="C170" s="73" t="s">
        <v>15</v>
      </c>
      <c r="D170" s="74" t="s">
        <v>1511</v>
      </c>
      <c r="E170" s="75">
        <v>767.21</v>
      </c>
      <c r="F170" s="74" t="s">
        <v>17</v>
      </c>
      <c r="G170" s="74" t="s">
        <v>21</v>
      </c>
      <c r="H170" s="74" t="s">
        <v>1512</v>
      </c>
      <c r="I170" s="84" t="s">
        <v>1498</v>
      </c>
      <c r="J170" s="75">
        <f t="shared" si="12"/>
        <v>767.21</v>
      </c>
      <c r="K170" s="75">
        <v>767.21</v>
      </c>
      <c r="L170" s="24">
        <f t="shared" si="13"/>
        <v>0</v>
      </c>
      <c r="M170" s="25"/>
      <c r="N170" s="70" t="s">
        <v>33</v>
      </c>
    </row>
    <row r="171" spans="2:14">
      <c r="B171" s="84" t="s">
        <v>1498</v>
      </c>
      <c r="C171" s="73" t="s">
        <v>15</v>
      </c>
      <c r="D171" s="74" t="s">
        <v>1513</v>
      </c>
      <c r="E171" s="75">
        <v>217.3</v>
      </c>
      <c r="F171" s="74" t="s">
        <v>17</v>
      </c>
      <c r="G171" s="74" t="s">
        <v>21</v>
      </c>
      <c r="H171" s="74" t="s">
        <v>1514</v>
      </c>
      <c r="I171" s="84" t="s">
        <v>1498</v>
      </c>
      <c r="J171" s="75">
        <f t="shared" si="12"/>
        <v>217.3</v>
      </c>
      <c r="K171" s="75">
        <v>217.3</v>
      </c>
      <c r="L171" s="24">
        <f t="shared" si="13"/>
        <v>0</v>
      </c>
      <c r="M171" s="25"/>
      <c r="N171" s="70" t="s">
        <v>23</v>
      </c>
    </row>
    <row r="172" spans="2:14">
      <c r="B172" s="85" t="s">
        <v>1498</v>
      </c>
      <c r="C172" s="57" t="s">
        <v>15</v>
      </c>
      <c r="D172" s="58" t="s">
        <v>1515</v>
      </c>
      <c r="E172" s="91">
        <v>1617.32</v>
      </c>
      <c r="F172" s="58" t="s">
        <v>17</v>
      </c>
      <c r="G172" s="58" t="s">
        <v>21</v>
      </c>
      <c r="H172" s="58" t="s">
        <v>1516</v>
      </c>
      <c r="I172" s="85" t="s">
        <v>1498</v>
      </c>
      <c r="J172" s="62">
        <f t="shared" si="12"/>
        <v>1617.32</v>
      </c>
      <c r="K172" s="91">
        <v>1617.32</v>
      </c>
      <c r="L172" s="24">
        <f t="shared" si="13"/>
        <v>0</v>
      </c>
      <c r="M172" s="25"/>
      <c r="N172" s="70" t="s">
        <v>56</v>
      </c>
    </row>
    <row r="173" spans="2:14">
      <c r="B173" s="85"/>
      <c r="C173" s="57"/>
      <c r="D173" s="58"/>
      <c r="E173" s="92"/>
      <c r="F173" s="58" t="s">
        <v>71</v>
      </c>
      <c r="G173" s="58"/>
      <c r="H173" s="58"/>
      <c r="I173" s="85"/>
      <c r="J173" s="62">
        <f t="shared" si="12"/>
        <v>0</v>
      </c>
      <c r="K173" s="92"/>
      <c r="L173" s="24">
        <f t="shared" si="13"/>
        <v>0</v>
      </c>
      <c r="M173" s="25"/>
      <c r="N173" s="31"/>
    </row>
    <row r="174" spans="2:14">
      <c r="B174" s="85" t="s">
        <v>1498</v>
      </c>
      <c r="C174" s="57" t="s">
        <v>64</v>
      </c>
      <c r="D174" s="58" t="s">
        <v>1517</v>
      </c>
      <c r="E174" s="91">
        <v>1756.68</v>
      </c>
      <c r="F174" s="58" t="s">
        <v>1518</v>
      </c>
      <c r="G174" s="58"/>
      <c r="H174" s="58"/>
      <c r="I174" s="85" t="s">
        <v>1498</v>
      </c>
      <c r="J174" s="62">
        <f t="shared" si="12"/>
        <v>1756.68</v>
      </c>
      <c r="K174" s="91">
        <v>1756.68</v>
      </c>
      <c r="L174" s="24">
        <f t="shared" si="13"/>
        <v>0</v>
      </c>
      <c r="M174" s="25"/>
      <c r="N174" s="70" t="s">
        <v>56</v>
      </c>
    </row>
    <row r="175" spans="2:14">
      <c r="B175" s="34" t="s">
        <v>1519</v>
      </c>
      <c r="C175" s="20" t="s">
        <v>15</v>
      </c>
      <c r="D175" s="21" t="s">
        <v>1520</v>
      </c>
      <c r="E175" s="37">
        <v>140.69</v>
      </c>
      <c r="F175" s="21" t="s">
        <v>17</v>
      </c>
      <c r="G175" s="21" t="s">
        <v>21</v>
      </c>
      <c r="H175" s="36" t="s">
        <v>1521</v>
      </c>
      <c r="I175" s="34" t="s">
        <v>1498</v>
      </c>
      <c r="J175" s="22">
        <f t="shared" si="12"/>
        <v>140.69</v>
      </c>
      <c r="K175" s="37">
        <v>140.69</v>
      </c>
      <c r="L175" s="24">
        <f t="shared" si="13"/>
        <v>0</v>
      </c>
      <c r="M175" s="25"/>
      <c r="N175" s="26"/>
    </row>
    <row r="176" spans="2:14">
      <c r="B176" s="84" t="s">
        <v>1519</v>
      </c>
      <c r="C176" s="73" t="s">
        <v>15</v>
      </c>
      <c r="D176" s="74" t="s">
        <v>1522</v>
      </c>
      <c r="E176" s="93">
        <v>958.58</v>
      </c>
      <c r="F176" s="74" t="s">
        <v>17</v>
      </c>
      <c r="G176" s="74" t="s">
        <v>21</v>
      </c>
      <c r="H176" s="74" t="s">
        <v>1523</v>
      </c>
      <c r="I176" s="84" t="s">
        <v>1519</v>
      </c>
      <c r="J176" s="75">
        <f t="shared" si="12"/>
        <v>958.58</v>
      </c>
      <c r="K176" s="93">
        <v>958.58</v>
      </c>
      <c r="L176" s="24">
        <f t="shared" si="13"/>
        <v>0</v>
      </c>
      <c r="M176" s="25"/>
      <c r="N176" s="70" t="s">
        <v>33</v>
      </c>
    </row>
    <row r="177" spans="2:14">
      <c r="B177" s="84" t="s">
        <v>1519</v>
      </c>
      <c r="C177" s="73" t="s">
        <v>15</v>
      </c>
      <c r="D177" s="74" t="s">
        <v>1524</v>
      </c>
      <c r="E177" s="93">
        <v>406.97</v>
      </c>
      <c r="F177" s="74" t="s">
        <v>17</v>
      </c>
      <c r="G177" s="74" t="s">
        <v>18</v>
      </c>
      <c r="H177" s="74" t="s">
        <v>1525</v>
      </c>
      <c r="I177" s="84" t="s">
        <v>1519</v>
      </c>
      <c r="J177" s="75">
        <f t="shared" si="12"/>
        <v>406.97</v>
      </c>
      <c r="K177" s="93">
        <v>406.97</v>
      </c>
      <c r="L177" s="24">
        <f t="shared" si="13"/>
        <v>0</v>
      </c>
      <c r="M177" s="25"/>
      <c r="N177" s="70" t="s">
        <v>23</v>
      </c>
    </row>
    <row r="178" spans="2:14">
      <c r="B178" s="84" t="s">
        <v>1519</v>
      </c>
      <c r="C178" s="73" t="s">
        <v>15</v>
      </c>
      <c r="D178" s="74" t="s">
        <v>1526</v>
      </c>
      <c r="E178" s="93">
        <v>77.41</v>
      </c>
      <c r="F178" s="74" t="s">
        <v>29</v>
      </c>
      <c r="G178" s="74"/>
      <c r="H178" s="74" t="s">
        <v>1527</v>
      </c>
      <c r="I178" s="84" t="s">
        <v>1519</v>
      </c>
      <c r="J178" s="75">
        <f t="shared" si="12"/>
        <v>77.41</v>
      </c>
      <c r="K178" s="93">
        <v>77.41</v>
      </c>
      <c r="L178" s="24">
        <f t="shared" si="13"/>
        <v>0</v>
      </c>
      <c r="M178" s="25"/>
      <c r="N178" s="70" t="s">
        <v>23</v>
      </c>
    </row>
    <row r="179" spans="2:14">
      <c r="B179" s="34" t="s">
        <v>1519</v>
      </c>
      <c r="C179" s="20" t="s">
        <v>15</v>
      </c>
      <c r="D179" s="21" t="s">
        <v>1528</v>
      </c>
      <c r="E179" s="37">
        <v>182.68</v>
      </c>
      <c r="F179" s="21" t="s">
        <v>17</v>
      </c>
      <c r="G179" s="21" t="s">
        <v>21</v>
      </c>
      <c r="H179" s="21" t="s">
        <v>1529</v>
      </c>
      <c r="I179" s="34" t="s">
        <v>1519</v>
      </c>
      <c r="J179" s="22">
        <f t="shared" si="12"/>
        <v>182.68</v>
      </c>
      <c r="K179" s="37">
        <v>182.68</v>
      </c>
      <c r="L179" s="24">
        <f t="shared" si="13"/>
        <v>0</v>
      </c>
      <c r="M179" s="25"/>
      <c r="N179" s="26"/>
    </row>
    <row r="180" spans="2:14">
      <c r="B180" s="34" t="s">
        <v>1519</v>
      </c>
      <c r="C180" s="20" t="s">
        <v>15</v>
      </c>
      <c r="D180" s="21" t="s">
        <v>1530</v>
      </c>
      <c r="E180" s="37">
        <v>651.32</v>
      </c>
      <c r="F180" s="21" t="s">
        <v>17</v>
      </c>
      <c r="G180" s="21" t="s">
        <v>21</v>
      </c>
      <c r="H180" s="21" t="s">
        <v>1531</v>
      </c>
      <c r="I180" s="34" t="s">
        <v>1519</v>
      </c>
      <c r="J180" s="22">
        <f t="shared" si="12"/>
        <v>651.32</v>
      </c>
      <c r="K180" s="37">
        <v>651.32</v>
      </c>
      <c r="L180" s="24">
        <f t="shared" si="13"/>
        <v>0</v>
      </c>
      <c r="M180" s="25"/>
      <c r="N180" s="26"/>
    </row>
    <row r="181" spans="2:14">
      <c r="B181" s="84" t="s">
        <v>1519</v>
      </c>
      <c r="C181" s="73" t="s">
        <v>15</v>
      </c>
      <c r="D181" s="74" t="s">
        <v>1532</v>
      </c>
      <c r="E181" s="93">
        <v>142.94</v>
      </c>
      <c r="F181" s="74" t="s">
        <v>17</v>
      </c>
      <c r="G181" s="74" t="s">
        <v>21</v>
      </c>
      <c r="H181" s="74" t="s">
        <v>1533</v>
      </c>
      <c r="I181" s="84" t="s">
        <v>1519</v>
      </c>
      <c r="J181" s="75">
        <f t="shared" si="12"/>
        <v>142.94</v>
      </c>
      <c r="K181" s="93">
        <v>142.94</v>
      </c>
      <c r="L181" s="24">
        <f t="shared" si="13"/>
        <v>0</v>
      </c>
      <c r="M181" s="25"/>
      <c r="N181" s="70" t="s">
        <v>190</v>
      </c>
    </row>
    <row r="182" spans="2:14">
      <c r="B182" s="84" t="s">
        <v>1519</v>
      </c>
      <c r="C182" s="73" t="s">
        <v>15</v>
      </c>
      <c r="D182" s="74" t="s">
        <v>1534</v>
      </c>
      <c r="E182" s="93">
        <v>175.31</v>
      </c>
      <c r="F182" s="74" t="s">
        <v>17</v>
      </c>
      <c r="G182" s="74" t="s">
        <v>21</v>
      </c>
      <c r="H182" s="74" t="s">
        <v>1535</v>
      </c>
      <c r="I182" s="84" t="s">
        <v>1519</v>
      </c>
      <c r="J182" s="75">
        <f t="shared" si="12"/>
        <v>175.31</v>
      </c>
      <c r="K182" s="93">
        <v>175.31</v>
      </c>
      <c r="L182" s="24">
        <f t="shared" si="13"/>
        <v>0</v>
      </c>
      <c r="M182" s="25"/>
      <c r="N182" s="70" t="s">
        <v>63</v>
      </c>
    </row>
    <row r="183" spans="2:14">
      <c r="B183" s="84" t="s">
        <v>1519</v>
      </c>
      <c r="C183" s="73" t="s">
        <v>15</v>
      </c>
      <c r="D183" s="74" t="s">
        <v>1536</v>
      </c>
      <c r="E183" s="93">
        <v>144.2</v>
      </c>
      <c r="F183" s="74" t="s">
        <v>17</v>
      </c>
      <c r="G183" s="74" t="s">
        <v>21</v>
      </c>
      <c r="H183" s="74" t="s">
        <v>1537</v>
      </c>
      <c r="I183" s="84" t="s">
        <v>1519</v>
      </c>
      <c r="J183" s="75">
        <f t="shared" si="12"/>
        <v>144.2</v>
      </c>
      <c r="K183" s="93">
        <v>144.2</v>
      </c>
      <c r="L183" s="24">
        <f t="shared" si="13"/>
        <v>0</v>
      </c>
      <c r="M183" s="25"/>
      <c r="N183" s="70" t="s">
        <v>23</v>
      </c>
    </row>
    <row r="184" spans="2:14">
      <c r="B184" s="34" t="s">
        <v>1519</v>
      </c>
      <c r="C184" s="20" t="s">
        <v>64</v>
      </c>
      <c r="D184" s="21" t="s">
        <v>1538</v>
      </c>
      <c r="E184" s="37">
        <v>112.34</v>
      </c>
      <c r="F184" s="21" t="s">
        <v>29</v>
      </c>
      <c r="G184" s="21"/>
      <c r="H184" s="21" t="s">
        <v>1539</v>
      </c>
      <c r="I184" s="34" t="s">
        <v>1519</v>
      </c>
      <c r="J184" s="22">
        <f t="shared" si="12"/>
        <v>112.34</v>
      </c>
      <c r="K184" s="37">
        <v>112.34</v>
      </c>
      <c r="L184" s="24">
        <f t="shared" si="13"/>
        <v>0</v>
      </c>
      <c r="M184" s="25"/>
      <c r="N184" s="70"/>
    </row>
    <row r="185" spans="2:14">
      <c r="B185" s="34" t="s">
        <v>1540</v>
      </c>
      <c r="C185" s="20" t="s">
        <v>15</v>
      </c>
      <c r="D185" s="21" t="s">
        <v>1541</v>
      </c>
      <c r="E185" s="38">
        <v>1780.33</v>
      </c>
      <c r="F185" s="21" t="s">
        <v>17</v>
      </c>
      <c r="G185" s="21" t="s">
        <v>21</v>
      </c>
      <c r="H185" s="21" t="s">
        <v>1542</v>
      </c>
      <c r="I185" s="34" t="s">
        <v>1540</v>
      </c>
      <c r="J185" s="22">
        <f t="shared" si="12"/>
        <v>1780.33</v>
      </c>
      <c r="K185" s="38">
        <v>1780.33</v>
      </c>
      <c r="L185" s="24">
        <f t="shared" si="13"/>
        <v>0</v>
      </c>
      <c r="M185" s="25"/>
      <c r="N185" s="26"/>
    </row>
    <row r="186" spans="2:14">
      <c r="B186" s="34" t="s">
        <v>1540</v>
      </c>
      <c r="C186" s="20" t="s">
        <v>15</v>
      </c>
      <c r="D186" s="21" t="s">
        <v>1543</v>
      </c>
      <c r="E186" s="38">
        <v>45.39</v>
      </c>
      <c r="F186" s="21" t="s">
        <v>29</v>
      </c>
      <c r="G186" s="21"/>
      <c r="H186" s="21" t="s">
        <v>1544</v>
      </c>
      <c r="I186" s="34" t="s">
        <v>1540</v>
      </c>
      <c r="J186" s="22">
        <f t="shared" si="12"/>
        <v>45.39</v>
      </c>
      <c r="K186" s="38">
        <v>45.39</v>
      </c>
      <c r="L186" s="24">
        <f t="shared" si="13"/>
        <v>0</v>
      </c>
      <c r="M186" s="25"/>
      <c r="N186" s="26"/>
    </row>
    <row r="187" spans="2:14">
      <c r="B187" s="34" t="s">
        <v>1540</v>
      </c>
      <c r="C187" s="20" t="s">
        <v>15</v>
      </c>
      <c r="D187" s="21" t="s">
        <v>1545</v>
      </c>
      <c r="E187" s="38">
        <v>90.84</v>
      </c>
      <c r="F187" s="21" t="s">
        <v>1546</v>
      </c>
      <c r="G187" s="21"/>
      <c r="H187" s="21" t="s">
        <v>1547</v>
      </c>
      <c r="I187" s="34" t="s">
        <v>1540</v>
      </c>
      <c r="J187" s="22">
        <f t="shared" si="12"/>
        <v>90.84</v>
      </c>
      <c r="K187" s="38">
        <v>90.84</v>
      </c>
      <c r="L187" s="24">
        <f t="shared" si="13"/>
        <v>0</v>
      </c>
      <c r="M187" s="25"/>
      <c r="N187" s="26"/>
    </row>
    <row r="188" spans="2:14">
      <c r="B188" s="84" t="s">
        <v>1540</v>
      </c>
      <c r="C188" s="73" t="s">
        <v>15</v>
      </c>
      <c r="D188" s="74" t="s">
        <v>1548</v>
      </c>
      <c r="E188" s="94">
        <v>348.88</v>
      </c>
      <c r="F188" s="74" t="s">
        <v>17</v>
      </c>
      <c r="G188" s="74" t="s">
        <v>18</v>
      </c>
      <c r="H188" s="74" t="s">
        <v>1549</v>
      </c>
      <c r="I188" s="84" t="s">
        <v>1540</v>
      </c>
      <c r="J188" s="75">
        <f t="shared" si="12"/>
        <v>348.88</v>
      </c>
      <c r="K188" s="94">
        <v>348.88</v>
      </c>
      <c r="L188" s="24">
        <f t="shared" si="13"/>
        <v>0</v>
      </c>
      <c r="M188" s="25"/>
      <c r="N188" s="70" t="s">
        <v>23</v>
      </c>
    </row>
    <row r="189" spans="2:14">
      <c r="B189" s="34" t="s">
        <v>1540</v>
      </c>
      <c r="C189" s="20" t="s">
        <v>15</v>
      </c>
      <c r="D189" s="21" t="s">
        <v>1550</v>
      </c>
      <c r="E189" s="38">
        <v>142.21</v>
      </c>
      <c r="F189" s="21" t="s">
        <v>29</v>
      </c>
      <c r="G189" s="21"/>
      <c r="H189" s="21" t="s">
        <v>1551</v>
      </c>
      <c r="I189" s="34" t="s">
        <v>1540</v>
      </c>
      <c r="J189" s="22">
        <f t="shared" si="12"/>
        <v>142.21</v>
      </c>
      <c r="K189" s="38">
        <v>142.21</v>
      </c>
      <c r="L189" s="24">
        <f t="shared" si="13"/>
        <v>0</v>
      </c>
      <c r="M189" s="25"/>
      <c r="N189" s="26"/>
    </row>
    <row r="190" spans="2:14">
      <c r="B190" s="34" t="s">
        <v>1540</v>
      </c>
      <c r="C190" s="20" t="s">
        <v>15</v>
      </c>
      <c r="D190" s="21" t="s">
        <v>1552</v>
      </c>
      <c r="E190" s="38">
        <v>442.19</v>
      </c>
      <c r="F190" s="21" t="s">
        <v>29</v>
      </c>
      <c r="G190" s="21"/>
      <c r="H190" s="21" t="s">
        <v>1553</v>
      </c>
      <c r="I190" s="34" t="s">
        <v>1540</v>
      </c>
      <c r="J190" s="22">
        <f t="shared" ref="J190:J253" si="14">E190</f>
        <v>442.19</v>
      </c>
      <c r="K190" s="38">
        <v>442.19</v>
      </c>
      <c r="L190" s="24">
        <f t="shared" ref="L190:L253" si="15">J190-K190</f>
        <v>0</v>
      </c>
      <c r="M190" s="25"/>
      <c r="N190" s="31"/>
    </row>
    <row r="191" spans="2:14">
      <c r="B191" s="85" t="s">
        <v>1540</v>
      </c>
      <c r="C191" s="57" t="s">
        <v>64</v>
      </c>
      <c r="D191" s="58" t="s">
        <v>1554</v>
      </c>
      <c r="E191" s="95">
        <v>702.23</v>
      </c>
      <c r="F191" s="58" t="s">
        <v>1518</v>
      </c>
      <c r="G191" s="58"/>
      <c r="H191" s="58" t="s">
        <v>1555</v>
      </c>
      <c r="I191" s="85" t="s">
        <v>1540</v>
      </c>
      <c r="J191" s="62">
        <f t="shared" si="14"/>
        <v>702.23</v>
      </c>
      <c r="K191" s="95">
        <v>702.23</v>
      </c>
      <c r="L191" s="24">
        <f t="shared" si="15"/>
        <v>0</v>
      </c>
      <c r="M191" s="25"/>
      <c r="N191" s="70" t="s">
        <v>56</v>
      </c>
    </row>
    <row r="192" spans="2:14">
      <c r="B192" s="85" t="s">
        <v>1540</v>
      </c>
      <c r="C192" s="57" t="s">
        <v>15</v>
      </c>
      <c r="D192" s="58" t="s">
        <v>1556</v>
      </c>
      <c r="E192" s="95">
        <v>1403.91</v>
      </c>
      <c r="F192" s="58" t="s">
        <v>17</v>
      </c>
      <c r="G192" s="58" t="s">
        <v>18</v>
      </c>
      <c r="H192" s="58" t="s">
        <v>1557</v>
      </c>
      <c r="I192" s="85" t="s">
        <v>1540</v>
      </c>
      <c r="J192" s="62">
        <f t="shared" si="14"/>
        <v>1403.91</v>
      </c>
      <c r="K192" s="95">
        <v>2651.83</v>
      </c>
      <c r="L192" s="24">
        <f t="shared" si="15"/>
        <v>-1247.92</v>
      </c>
      <c r="M192" s="25" t="s">
        <v>1349</v>
      </c>
      <c r="N192" s="70" t="s">
        <v>56</v>
      </c>
    </row>
    <row r="193" spans="2:14">
      <c r="B193" s="34"/>
      <c r="C193" s="20"/>
      <c r="D193" s="21"/>
      <c r="E193" s="38"/>
      <c r="F193" s="21"/>
      <c r="G193" s="21"/>
      <c r="H193" s="21"/>
      <c r="I193" s="34"/>
      <c r="J193" s="22">
        <f t="shared" si="14"/>
        <v>0</v>
      </c>
      <c r="K193" s="22"/>
      <c r="L193" s="24">
        <f t="shared" si="15"/>
        <v>0</v>
      </c>
      <c r="M193" s="25"/>
      <c r="N193" s="26"/>
    </row>
    <row r="194" spans="2:14">
      <c r="B194" s="34"/>
      <c r="C194" s="20"/>
      <c r="D194" s="21"/>
      <c r="E194" s="38"/>
      <c r="F194" s="21"/>
      <c r="G194" s="21"/>
      <c r="H194" s="21"/>
      <c r="I194" s="34"/>
      <c r="J194" s="22">
        <f t="shared" si="14"/>
        <v>0</v>
      </c>
      <c r="K194" s="22"/>
      <c r="L194" s="24">
        <f t="shared" si="15"/>
        <v>0</v>
      </c>
      <c r="M194" s="25"/>
      <c r="N194" s="26"/>
    </row>
    <row r="195" spans="2:14">
      <c r="B195" s="34"/>
      <c r="C195" s="20"/>
      <c r="D195" s="21"/>
      <c r="E195" s="38"/>
      <c r="F195" s="21"/>
      <c r="G195" s="21"/>
      <c r="H195" s="21"/>
      <c r="I195" s="34"/>
      <c r="J195" s="22">
        <f t="shared" si="14"/>
        <v>0</v>
      </c>
      <c r="K195" s="22"/>
      <c r="L195" s="24">
        <f t="shared" si="15"/>
        <v>0</v>
      </c>
      <c r="M195" s="25"/>
      <c r="N195" s="26"/>
    </row>
    <row r="196" spans="2:14">
      <c r="B196" s="34"/>
      <c r="C196" s="20"/>
      <c r="D196" s="21"/>
      <c r="E196" s="38"/>
      <c r="F196" s="21"/>
      <c r="G196" s="21"/>
      <c r="H196" s="21"/>
      <c r="I196" s="34"/>
      <c r="J196" s="22">
        <f t="shared" si="14"/>
        <v>0</v>
      </c>
      <c r="K196" s="22"/>
      <c r="L196" s="24">
        <f t="shared" si="15"/>
        <v>0</v>
      </c>
      <c r="M196" s="25"/>
      <c r="N196" s="31"/>
    </row>
    <row r="197" spans="2:14">
      <c r="B197" s="34"/>
      <c r="C197" s="20"/>
      <c r="D197" s="21"/>
      <c r="E197" s="38"/>
      <c r="F197" s="21"/>
      <c r="G197" s="21"/>
      <c r="H197" s="21"/>
      <c r="I197" s="34"/>
      <c r="J197" s="22">
        <f t="shared" si="14"/>
        <v>0</v>
      </c>
      <c r="K197" s="22"/>
      <c r="L197" s="24">
        <f t="shared" si="15"/>
        <v>0</v>
      </c>
      <c r="M197" s="25"/>
      <c r="N197" s="26"/>
    </row>
    <row r="198" spans="2:14">
      <c r="B198" s="34"/>
      <c r="C198" s="20"/>
      <c r="D198" s="21"/>
      <c r="E198" s="38"/>
      <c r="F198" s="21"/>
      <c r="G198" s="21"/>
      <c r="H198" s="21"/>
      <c r="I198" s="34"/>
      <c r="J198" s="22">
        <f t="shared" si="14"/>
        <v>0</v>
      </c>
      <c r="K198" s="22"/>
      <c r="L198" s="24">
        <f t="shared" si="15"/>
        <v>0</v>
      </c>
      <c r="M198" s="25"/>
      <c r="N198" s="26"/>
    </row>
    <row r="199" spans="2:14">
      <c r="B199" s="34"/>
      <c r="C199" s="20"/>
      <c r="D199" s="21"/>
      <c r="E199" s="38"/>
      <c r="F199" s="21"/>
      <c r="G199" s="21"/>
      <c r="H199" s="21"/>
      <c r="I199" s="34"/>
      <c r="J199" s="22">
        <f t="shared" si="14"/>
        <v>0</v>
      </c>
      <c r="K199" s="22"/>
      <c r="L199" s="24">
        <f t="shared" si="15"/>
        <v>0</v>
      </c>
      <c r="M199" s="25"/>
      <c r="N199" s="26"/>
    </row>
    <row r="200" spans="2:14">
      <c r="B200" s="34"/>
      <c r="C200" s="20"/>
      <c r="D200" s="21"/>
      <c r="E200" s="38"/>
      <c r="F200" s="21"/>
      <c r="G200" s="21"/>
      <c r="H200" s="34"/>
      <c r="I200" s="34"/>
      <c r="J200" s="22">
        <f t="shared" si="14"/>
        <v>0</v>
      </c>
      <c r="K200" s="22"/>
      <c r="L200" s="24">
        <f t="shared" si="15"/>
        <v>0</v>
      </c>
      <c r="M200" s="25"/>
      <c r="N200" s="26"/>
    </row>
    <row r="201" spans="2:14">
      <c r="B201" s="34"/>
      <c r="C201" s="20"/>
      <c r="D201" s="21"/>
      <c r="E201" s="38"/>
      <c r="F201" s="21"/>
      <c r="G201" s="21"/>
      <c r="H201" s="21"/>
      <c r="I201" s="34"/>
      <c r="J201" s="22">
        <f t="shared" si="14"/>
        <v>0</v>
      </c>
      <c r="K201" s="22"/>
      <c r="L201" s="24">
        <f t="shared" si="15"/>
        <v>0</v>
      </c>
      <c r="M201" s="25"/>
      <c r="N201" s="31"/>
    </row>
    <row r="202" spans="2:14">
      <c r="B202" s="34"/>
      <c r="C202" s="20"/>
      <c r="D202" s="21"/>
      <c r="E202" s="38"/>
      <c r="F202" s="21"/>
      <c r="G202" s="21"/>
      <c r="H202" s="21"/>
      <c r="I202" s="34"/>
      <c r="J202" s="22">
        <f t="shared" si="14"/>
        <v>0</v>
      </c>
      <c r="K202" s="22"/>
      <c r="L202" s="24">
        <f t="shared" si="15"/>
        <v>0</v>
      </c>
      <c r="M202" s="25"/>
      <c r="N202" s="31"/>
    </row>
    <row r="203" spans="2:14">
      <c r="B203" s="34"/>
      <c r="C203" s="20"/>
      <c r="D203" s="21"/>
      <c r="E203" s="38"/>
      <c r="F203" s="21"/>
      <c r="G203" s="21"/>
      <c r="H203" s="21"/>
      <c r="I203" s="34"/>
      <c r="J203" s="22">
        <f t="shared" si="14"/>
        <v>0</v>
      </c>
      <c r="K203" s="22"/>
      <c r="L203" s="43">
        <f t="shared" si="15"/>
        <v>0</v>
      </c>
      <c r="M203" s="25"/>
      <c r="N203" s="26"/>
    </row>
    <row r="204" spans="2:14">
      <c r="B204" s="34"/>
      <c r="C204" s="20"/>
      <c r="D204" s="21"/>
      <c r="E204" s="38"/>
      <c r="F204" s="21"/>
      <c r="G204" s="21"/>
      <c r="H204" s="21"/>
      <c r="I204" s="34"/>
      <c r="J204" s="22">
        <f t="shared" si="14"/>
        <v>0</v>
      </c>
      <c r="K204" s="22"/>
      <c r="L204" s="43">
        <f t="shared" si="15"/>
        <v>0</v>
      </c>
      <c r="M204" s="25"/>
      <c r="N204" s="31"/>
    </row>
    <row r="205" spans="2:14">
      <c r="B205" s="34"/>
      <c r="C205" s="20"/>
      <c r="D205" s="21"/>
      <c r="E205" s="38"/>
      <c r="F205" s="21"/>
      <c r="G205" s="21"/>
      <c r="H205" s="21"/>
      <c r="I205" s="34"/>
      <c r="J205" s="22">
        <f t="shared" si="14"/>
        <v>0</v>
      </c>
      <c r="K205" s="22"/>
      <c r="L205" s="43">
        <f t="shared" si="15"/>
        <v>0</v>
      </c>
      <c r="M205" s="25"/>
      <c r="N205" s="31"/>
    </row>
    <row r="206" spans="2:14">
      <c r="B206" s="34"/>
      <c r="C206" s="20"/>
      <c r="D206" s="21"/>
      <c r="E206" s="38"/>
      <c r="F206" s="21"/>
      <c r="G206" s="21"/>
      <c r="H206" s="21"/>
      <c r="I206" s="34"/>
      <c r="J206" s="22">
        <f t="shared" si="14"/>
        <v>0</v>
      </c>
      <c r="K206" s="22"/>
      <c r="L206" s="43">
        <f t="shared" si="15"/>
        <v>0</v>
      </c>
      <c r="M206" s="25"/>
      <c r="N206" s="31"/>
    </row>
    <row r="207" spans="2:14">
      <c r="B207" s="34"/>
      <c r="C207" s="20"/>
      <c r="D207" s="21"/>
      <c r="E207" s="38"/>
      <c r="F207" s="21"/>
      <c r="G207" s="21"/>
      <c r="H207" s="21"/>
      <c r="I207" s="34"/>
      <c r="J207" s="22">
        <f t="shared" si="14"/>
        <v>0</v>
      </c>
      <c r="K207" s="22"/>
      <c r="L207" s="43">
        <f t="shared" si="15"/>
        <v>0</v>
      </c>
      <c r="M207" s="25"/>
      <c r="N207" s="31"/>
    </row>
    <row r="208" spans="2:14">
      <c r="B208" s="34"/>
      <c r="C208" s="20"/>
      <c r="D208" s="21"/>
      <c r="E208" s="38"/>
      <c r="F208" s="21"/>
      <c r="G208" s="21"/>
      <c r="H208" s="21"/>
      <c r="I208" s="34"/>
      <c r="J208" s="22">
        <f t="shared" si="14"/>
        <v>0</v>
      </c>
      <c r="K208" s="22"/>
      <c r="L208" s="43">
        <f t="shared" si="15"/>
        <v>0</v>
      </c>
      <c r="M208" s="25"/>
      <c r="N208" s="31"/>
    </row>
    <row r="209" spans="2:14">
      <c r="B209" s="34"/>
      <c r="C209" s="20"/>
      <c r="D209" s="21"/>
      <c r="E209" s="38"/>
      <c r="F209" s="21"/>
      <c r="G209" s="21"/>
      <c r="H209" s="21"/>
      <c r="I209" s="34"/>
      <c r="J209" s="22">
        <f t="shared" si="14"/>
        <v>0</v>
      </c>
      <c r="K209" s="22"/>
      <c r="L209" s="43">
        <f t="shared" si="15"/>
        <v>0</v>
      </c>
      <c r="M209" s="25"/>
      <c r="N209" s="31"/>
    </row>
    <row r="210" spans="2:14">
      <c r="B210" s="34"/>
      <c r="C210" s="20"/>
      <c r="D210" s="21"/>
      <c r="E210" s="38"/>
      <c r="F210" s="21"/>
      <c r="G210" s="21"/>
      <c r="H210" s="21"/>
      <c r="I210" s="34"/>
      <c r="J210" s="22">
        <f t="shared" si="14"/>
        <v>0</v>
      </c>
      <c r="K210" s="22"/>
      <c r="L210" s="43">
        <f t="shared" si="15"/>
        <v>0</v>
      </c>
      <c r="M210" s="25"/>
      <c r="N210" s="31"/>
    </row>
    <row r="211" spans="2:14">
      <c r="B211" s="34"/>
      <c r="C211" s="20"/>
      <c r="D211" s="21"/>
      <c r="E211" s="38"/>
      <c r="F211" s="21"/>
      <c r="G211" s="21"/>
      <c r="H211" s="21"/>
      <c r="I211" s="34"/>
      <c r="J211" s="22">
        <f t="shared" si="14"/>
        <v>0</v>
      </c>
      <c r="K211" s="22"/>
      <c r="L211" s="43">
        <f t="shared" si="15"/>
        <v>0</v>
      </c>
      <c r="M211" s="25"/>
      <c r="N211" s="31"/>
    </row>
    <row r="212" spans="2:14">
      <c r="B212" s="34"/>
      <c r="C212" s="20"/>
      <c r="D212" s="21"/>
      <c r="E212" s="38"/>
      <c r="F212" s="21"/>
      <c r="G212" s="21"/>
      <c r="H212" s="21"/>
      <c r="I212" s="34"/>
      <c r="J212" s="22">
        <f t="shared" si="14"/>
        <v>0</v>
      </c>
      <c r="K212" s="22"/>
      <c r="L212" s="43">
        <f t="shared" si="15"/>
        <v>0</v>
      </c>
      <c r="M212" s="25"/>
      <c r="N212" s="31"/>
    </row>
    <row r="213" spans="2:14">
      <c r="B213" s="34"/>
      <c r="C213" s="20"/>
      <c r="D213" s="21"/>
      <c r="E213" s="39"/>
      <c r="F213" s="40"/>
      <c r="G213" s="21"/>
      <c r="H213" s="40"/>
      <c r="I213" s="34"/>
      <c r="J213" s="22">
        <f t="shared" si="14"/>
        <v>0</v>
      </c>
      <c r="K213" s="40"/>
      <c r="L213" s="43">
        <f t="shared" si="15"/>
        <v>0</v>
      </c>
      <c r="M213" s="41"/>
      <c r="N213" s="42"/>
    </row>
    <row r="214" spans="2:14">
      <c r="B214" s="34"/>
      <c r="C214" s="20"/>
      <c r="D214" s="21"/>
      <c r="E214" s="39"/>
      <c r="F214" s="40"/>
      <c r="G214" s="21"/>
      <c r="H214" s="40"/>
      <c r="I214" s="34"/>
      <c r="J214" s="22">
        <f t="shared" si="14"/>
        <v>0</v>
      </c>
      <c r="K214" s="40"/>
      <c r="L214" s="43">
        <f t="shared" si="15"/>
        <v>0</v>
      </c>
      <c r="M214" s="41"/>
      <c r="N214" s="42"/>
    </row>
    <row r="215" spans="2:14">
      <c r="B215" s="34"/>
      <c r="C215" s="20"/>
      <c r="D215" s="40"/>
      <c r="E215" s="39"/>
      <c r="F215" s="21"/>
      <c r="G215" s="21"/>
      <c r="H215" s="40"/>
      <c r="I215" s="34"/>
      <c r="J215" s="22">
        <f t="shared" si="14"/>
        <v>0</v>
      </c>
      <c r="K215" s="40"/>
      <c r="L215" s="43">
        <f t="shared" si="15"/>
        <v>0</v>
      </c>
      <c r="M215" s="41"/>
      <c r="N215" s="42"/>
    </row>
    <row r="216" spans="2:14">
      <c r="B216" s="34"/>
      <c r="C216" s="20"/>
      <c r="D216" s="21"/>
      <c r="E216" s="38"/>
      <c r="F216" s="21"/>
      <c r="G216" s="21"/>
      <c r="H216" s="21"/>
      <c r="I216" s="34"/>
      <c r="J216" s="22">
        <f t="shared" si="14"/>
        <v>0</v>
      </c>
      <c r="K216" s="22"/>
      <c r="L216" s="43">
        <f t="shared" si="15"/>
        <v>0</v>
      </c>
      <c r="M216" s="25"/>
      <c r="N216" s="31"/>
    </row>
    <row r="217" spans="2:14">
      <c r="B217" s="34"/>
      <c r="C217" s="20"/>
      <c r="D217" s="21"/>
      <c r="E217" s="38"/>
      <c r="F217" s="21"/>
      <c r="G217" s="21"/>
      <c r="H217" s="21"/>
      <c r="I217" s="34"/>
      <c r="J217" s="22">
        <f t="shared" si="14"/>
        <v>0</v>
      </c>
      <c r="K217" s="22"/>
      <c r="L217" s="43">
        <f t="shared" si="15"/>
        <v>0</v>
      </c>
      <c r="M217" s="25"/>
      <c r="N217" s="31"/>
    </row>
    <row r="218" spans="2:14">
      <c r="B218" s="34"/>
      <c r="C218" s="20"/>
      <c r="D218" s="21"/>
      <c r="E218" s="38"/>
      <c r="F218" s="21"/>
      <c r="G218" s="21"/>
      <c r="H218" s="21"/>
      <c r="I218" s="34"/>
      <c r="J218" s="22">
        <f t="shared" si="14"/>
        <v>0</v>
      </c>
      <c r="K218" s="22"/>
      <c r="L218" s="43">
        <f t="shared" si="15"/>
        <v>0</v>
      </c>
      <c r="M218" s="25"/>
      <c r="N218" s="31"/>
    </row>
    <row r="219" spans="2:14">
      <c r="B219" s="34"/>
      <c r="C219" s="20"/>
      <c r="D219" s="21"/>
      <c r="E219" s="38"/>
      <c r="F219" s="21"/>
      <c r="G219" s="21"/>
      <c r="H219" s="21"/>
      <c r="I219" s="34"/>
      <c r="J219" s="22">
        <f t="shared" si="14"/>
        <v>0</v>
      </c>
      <c r="K219" s="22"/>
      <c r="L219" s="43">
        <f t="shared" si="15"/>
        <v>0</v>
      </c>
      <c r="M219" s="25"/>
      <c r="N219" s="24"/>
    </row>
    <row r="220" spans="2:14">
      <c r="B220" s="34"/>
      <c r="C220" s="20"/>
      <c r="D220" s="21"/>
      <c r="E220" s="38"/>
      <c r="F220" s="21"/>
      <c r="G220" s="21"/>
      <c r="H220" s="21"/>
      <c r="I220" s="34"/>
      <c r="J220" s="22">
        <f t="shared" si="14"/>
        <v>0</v>
      </c>
      <c r="K220" s="22"/>
      <c r="L220" s="43">
        <f t="shared" si="15"/>
        <v>0</v>
      </c>
      <c r="M220" s="25"/>
      <c r="N220" s="42"/>
    </row>
    <row r="221" spans="2:14">
      <c r="B221" s="34"/>
      <c r="C221" s="20"/>
      <c r="D221" s="21"/>
      <c r="E221" s="38"/>
      <c r="F221" s="21"/>
      <c r="G221" s="21"/>
      <c r="H221" s="21"/>
      <c r="I221" s="34"/>
      <c r="J221" s="22">
        <f t="shared" si="14"/>
        <v>0</v>
      </c>
      <c r="K221" s="22"/>
      <c r="L221" s="43">
        <f t="shared" si="15"/>
        <v>0</v>
      </c>
      <c r="M221" s="25"/>
      <c r="N221" s="42"/>
    </row>
    <row r="222" spans="2:14">
      <c r="B222" s="34"/>
      <c r="C222" s="20"/>
      <c r="D222" s="21"/>
      <c r="E222" s="38"/>
      <c r="F222" s="21"/>
      <c r="G222" s="21"/>
      <c r="H222" s="21"/>
      <c r="I222" s="34"/>
      <c r="J222" s="22">
        <f t="shared" si="14"/>
        <v>0</v>
      </c>
      <c r="K222" s="22"/>
      <c r="L222" s="43">
        <f t="shared" si="15"/>
        <v>0</v>
      </c>
      <c r="M222" s="25"/>
      <c r="N222" s="31"/>
    </row>
    <row r="223" spans="2:14">
      <c r="B223" s="34"/>
      <c r="C223" s="20"/>
      <c r="D223" s="21"/>
      <c r="E223" s="38"/>
      <c r="F223" s="21"/>
      <c r="G223" s="21"/>
      <c r="H223" s="21"/>
      <c r="I223" s="34"/>
      <c r="J223" s="22">
        <f t="shared" si="14"/>
        <v>0</v>
      </c>
      <c r="K223" s="22"/>
      <c r="L223" s="43">
        <f t="shared" si="15"/>
        <v>0</v>
      </c>
      <c r="M223" s="25"/>
      <c r="N223" s="31"/>
    </row>
    <row r="224" spans="2:14">
      <c r="B224" s="34"/>
      <c r="C224" s="20"/>
      <c r="D224" s="21"/>
      <c r="E224" s="38"/>
      <c r="F224" s="21"/>
      <c r="G224" s="21"/>
      <c r="H224" s="21"/>
      <c r="I224" s="21"/>
      <c r="J224" s="22">
        <f t="shared" si="14"/>
        <v>0</v>
      </c>
      <c r="K224" s="22"/>
      <c r="L224" s="43">
        <f t="shared" si="15"/>
        <v>0</v>
      </c>
      <c r="M224" s="25"/>
      <c r="N224" s="31"/>
    </row>
    <row r="225" spans="2:14">
      <c r="B225" s="34"/>
      <c r="C225" s="20"/>
      <c r="D225" s="21"/>
      <c r="E225" s="38"/>
      <c r="F225" s="21"/>
      <c r="G225" s="21"/>
      <c r="H225" s="21"/>
      <c r="I225" s="21"/>
      <c r="J225" s="22">
        <f t="shared" si="14"/>
        <v>0</v>
      </c>
      <c r="K225" s="22"/>
      <c r="L225" s="43">
        <f t="shared" si="15"/>
        <v>0</v>
      </c>
      <c r="M225" s="25"/>
      <c r="N225" s="24"/>
    </row>
    <row r="226" spans="2:14">
      <c r="B226" s="34"/>
      <c r="C226" s="20"/>
      <c r="D226" s="21"/>
      <c r="E226" s="38"/>
      <c r="F226" s="21"/>
      <c r="G226" s="21"/>
      <c r="H226" s="21"/>
      <c r="I226" s="21"/>
      <c r="J226" s="22">
        <f t="shared" si="14"/>
        <v>0</v>
      </c>
      <c r="K226" s="22"/>
      <c r="L226" s="43">
        <f t="shared" si="15"/>
        <v>0</v>
      </c>
      <c r="M226" s="25"/>
      <c r="N226" s="24"/>
    </row>
    <row r="227" spans="2:14">
      <c r="B227" s="34"/>
      <c r="C227" s="20"/>
      <c r="D227" s="21"/>
      <c r="E227" s="38"/>
      <c r="F227" s="21"/>
      <c r="G227" s="21"/>
      <c r="H227" s="21"/>
      <c r="I227" s="21"/>
      <c r="J227" s="22">
        <f t="shared" si="14"/>
        <v>0</v>
      </c>
      <c r="K227" s="22"/>
      <c r="L227" s="43">
        <f t="shared" si="15"/>
        <v>0</v>
      </c>
      <c r="M227" s="25"/>
      <c r="N227" s="24"/>
    </row>
    <row r="228" spans="2:14">
      <c r="B228" s="34"/>
      <c r="C228" s="20"/>
      <c r="D228" s="21"/>
      <c r="E228" s="38"/>
      <c r="F228" s="21"/>
      <c r="G228" s="21"/>
      <c r="H228" s="21"/>
      <c r="I228" s="21"/>
      <c r="J228" s="22">
        <f t="shared" si="14"/>
        <v>0</v>
      </c>
      <c r="K228" s="22"/>
      <c r="L228" s="43">
        <f t="shared" si="15"/>
        <v>0</v>
      </c>
      <c r="M228" s="25"/>
      <c r="N228" s="31"/>
    </row>
    <row r="229" spans="2:14">
      <c r="B229" s="34"/>
      <c r="C229" s="20"/>
      <c r="D229" s="21"/>
      <c r="E229" s="38"/>
      <c r="F229" s="21"/>
      <c r="G229" s="21"/>
      <c r="H229" s="21"/>
      <c r="I229" s="21"/>
      <c r="J229" s="22">
        <f t="shared" si="14"/>
        <v>0</v>
      </c>
      <c r="K229" s="22"/>
      <c r="L229" s="43">
        <f t="shared" si="15"/>
        <v>0</v>
      </c>
      <c r="M229" s="25"/>
      <c r="N229" s="24"/>
    </row>
    <row r="230" spans="2:14">
      <c r="B230" s="34"/>
      <c r="C230" s="20"/>
      <c r="D230" s="21"/>
      <c r="E230" s="38"/>
      <c r="F230" s="21"/>
      <c r="G230" s="21"/>
      <c r="H230" s="21"/>
      <c r="I230" s="21"/>
      <c r="J230" s="22">
        <f t="shared" si="14"/>
        <v>0</v>
      </c>
      <c r="K230" s="22"/>
      <c r="L230" s="43">
        <f t="shared" si="15"/>
        <v>0</v>
      </c>
      <c r="M230" s="25"/>
      <c r="N230" s="24"/>
    </row>
    <row r="231" spans="2:14">
      <c r="B231" s="34"/>
      <c r="C231" s="20"/>
      <c r="D231" s="21"/>
      <c r="E231" s="38"/>
      <c r="F231" s="21"/>
      <c r="G231" s="21"/>
      <c r="H231" s="21"/>
      <c r="I231" s="21"/>
      <c r="J231" s="22">
        <f t="shared" si="14"/>
        <v>0</v>
      </c>
      <c r="K231" s="22"/>
      <c r="L231" s="43">
        <f t="shared" si="15"/>
        <v>0</v>
      </c>
      <c r="M231" s="25"/>
      <c r="N231" s="24"/>
    </row>
    <row r="232" spans="2:14">
      <c r="B232" s="34"/>
      <c r="C232" s="20"/>
      <c r="D232" s="21"/>
      <c r="E232" s="38"/>
      <c r="F232" s="21"/>
      <c r="G232" s="21"/>
      <c r="H232" s="21"/>
      <c r="I232" s="21"/>
      <c r="J232" s="22">
        <f t="shared" si="14"/>
        <v>0</v>
      </c>
      <c r="K232" s="22"/>
      <c r="L232" s="43">
        <f t="shared" si="15"/>
        <v>0</v>
      </c>
      <c r="M232" s="25"/>
      <c r="N232" s="24"/>
    </row>
    <row r="233" spans="2:14">
      <c r="B233" s="34"/>
      <c r="C233" s="20"/>
      <c r="D233" s="21"/>
      <c r="E233" s="38"/>
      <c r="F233" s="21"/>
      <c r="G233" s="21"/>
      <c r="H233" s="21"/>
      <c r="I233" s="21"/>
      <c r="J233" s="22">
        <f t="shared" si="14"/>
        <v>0</v>
      </c>
      <c r="K233" s="22"/>
      <c r="L233" s="43">
        <f t="shared" si="15"/>
        <v>0</v>
      </c>
      <c r="M233" s="25"/>
      <c r="N233" s="24"/>
    </row>
    <row r="234" spans="2:14">
      <c r="B234" s="34"/>
      <c r="C234" s="20"/>
      <c r="D234" s="21"/>
      <c r="E234" s="38"/>
      <c r="F234" s="21"/>
      <c r="G234" s="21"/>
      <c r="H234" s="21"/>
      <c r="I234" s="21"/>
      <c r="J234" s="22">
        <f t="shared" si="14"/>
        <v>0</v>
      </c>
      <c r="K234" s="22"/>
      <c r="L234" s="43">
        <f t="shared" si="15"/>
        <v>0</v>
      </c>
      <c r="M234" s="25"/>
      <c r="N234" s="24"/>
    </row>
    <row r="235" spans="2:14">
      <c r="B235" s="34"/>
      <c r="C235" s="20"/>
      <c r="D235" s="21"/>
      <c r="E235" s="38"/>
      <c r="F235" s="21"/>
      <c r="G235" s="21"/>
      <c r="H235" s="21"/>
      <c r="I235" s="21"/>
      <c r="J235" s="22">
        <f t="shared" si="14"/>
        <v>0</v>
      </c>
      <c r="K235" s="22"/>
      <c r="L235" s="43">
        <f t="shared" si="15"/>
        <v>0</v>
      </c>
      <c r="M235" s="25"/>
      <c r="N235" s="24"/>
    </row>
    <row r="236" spans="2:14">
      <c r="B236" s="34"/>
      <c r="C236" s="20"/>
      <c r="D236" s="21"/>
      <c r="E236" s="38"/>
      <c r="F236" s="21"/>
      <c r="G236" s="21"/>
      <c r="H236" s="21"/>
      <c r="I236" s="21"/>
      <c r="J236" s="22">
        <f t="shared" si="14"/>
        <v>0</v>
      </c>
      <c r="K236" s="22"/>
      <c r="L236" s="43">
        <f t="shared" si="15"/>
        <v>0</v>
      </c>
      <c r="M236" s="25"/>
      <c r="N236" s="24"/>
    </row>
    <row r="237" spans="2:14">
      <c r="B237" s="34"/>
      <c r="C237" s="20"/>
      <c r="D237" s="21"/>
      <c r="E237" s="38"/>
      <c r="F237" s="21"/>
      <c r="G237" s="21"/>
      <c r="H237" s="21"/>
      <c r="I237" s="21"/>
      <c r="J237" s="22">
        <f t="shared" si="14"/>
        <v>0</v>
      </c>
      <c r="K237" s="22"/>
      <c r="L237" s="43">
        <f t="shared" si="15"/>
        <v>0</v>
      </c>
      <c r="M237" s="25"/>
      <c r="N237" s="24"/>
    </row>
    <row r="238" spans="2:14">
      <c r="B238" s="34"/>
      <c r="C238" s="20"/>
      <c r="D238" s="21"/>
      <c r="E238" s="38"/>
      <c r="F238" s="21"/>
      <c r="G238" s="21"/>
      <c r="H238" s="21"/>
      <c r="I238" s="21"/>
      <c r="J238" s="22">
        <f t="shared" si="14"/>
        <v>0</v>
      </c>
      <c r="K238" s="22"/>
      <c r="L238" s="43">
        <f t="shared" si="15"/>
        <v>0</v>
      </c>
      <c r="M238" s="25"/>
      <c r="N238" s="24"/>
    </row>
    <row r="239" spans="2:14">
      <c r="B239" s="34"/>
      <c r="C239" s="20"/>
      <c r="D239" s="21"/>
      <c r="E239" s="38"/>
      <c r="F239" s="21"/>
      <c r="G239" s="21"/>
      <c r="H239" s="21"/>
      <c r="I239" s="21"/>
      <c r="J239" s="22">
        <f t="shared" si="14"/>
        <v>0</v>
      </c>
      <c r="K239" s="22"/>
      <c r="L239" s="43">
        <f t="shared" si="15"/>
        <v>0</v>
      </c>
      <c r="M239" s="25"/>
      <c r="N239" s="24"/>
    </row>
    <row r="240" spans="2:14">
      <c r="B240" s="34"/>
      <c r="C240" s="20"/>
      <c r="D240" s="21"/>
      <c r="E240" s="38"/>
      <c r="F240" s="21"/>
      <c r="G240" s="21"/>
      <c r="H240" s="21"/>
      <c r="I240" s="21"/>
      <c r="J240" s="22">
        <f t="shared" si="14"/>
        <v>0</v>
      </c>
      <c r="K240" s="22"/>
      <c r="L240" s="43">
        <f t="shared" si="15"/>
        <v>0</v>
      </c>
      <c r="M240" s="25"/>
      <c r="N240" s="24"/>
    </row>
    <row r="241" spans="2:14">
      <c r="B241" s="34"/>
      <c r="C241" s="20"/>
      <c r="D241" s="21"/>
      <c r="E241" s="38"/>
      <c r="F241" s="21"/>
      <c r="G241" s="21"/>
      <c r="H241" s="21"/>
      <c r="I241" s="21"/>
      <c r="J241" s="22">
        <f t="shared" si="14"/>
        <v>0</v>
      </c>
      <c r="K241" s="22"/>
      <c r="L241" s="43">
        <f t="shared" si="15"/>
        <v>0</v>
      </c>
      <c r="M241" s="25"/>
      <c r="N241" s="24"/>
    </row>
    <row r="242" spans="2:14">
      <c r="B242" s="34"/>
      <c r="C242" s="20"/>
      <c r="D242" s="21"/>
      <c r="E242" s="38"/>
      <c r="F242" s="21"/>
      <c r="G242" s="21"/>
      <c r="H242" s="21"/>
      <c r="I242" s="21"/>
      <c r="J242" s="22">
        <f t="shared" si="14"/>
        <v>0</v>
      </c>
      <c r="K242" s="22"/>
      <c r="L242" s="43">
        <f t="shared" si="15"/>
        <v>0</v>
      </c>
      <c r="M242" s="25"/>
      <c r="N242" s="24"/>
    </row>
    <row r="243" spans="2:14">
      <c r="B243" s="34"/>
      <c r="C243" s="20"/>
      <c r="D243" s="21"/>
      <c r="E243" s="38"/>
      <c r="F243" s="21"/>
      <c r="G243" s="21"/>
      <c r="H243" s="21"/>
      <c r="I243" s="21"/>
      <c r="J243" s="22">
        <f t="shared" si="14"/>
        <v>0</v>
      </c>
      <c r="K243" s="22"/>
      <c r="L243" s="43">
        <f t="shared" si="15"/>
        <v>0</v>
      </c>
      <c r="M243" s="25"/>
      <c r="N243" s="24"/>
    </row>
    <row r="244" spans="2:14">
      <c r="B244" s="34"/>
      <c r="C244" s="20"/>
      <c r="D244" s="21"/>
      <c r="E244" s="38"/>
      <c r="F244" s="21"/>
      <c r="G244" s="21"/>
      <c r="H244" s="21"/>
      <c r="I244" s="21"/>
      <c r="J244" s="22">
        <f t="shared" si="14"/>
        <v>0</v>
      </c>
      <c r="K244" s="22"/>
      <c r="L244" s="43">
        <f t="shared" si="15"/>
        <v>0</v>
      </c>
      <c r="M244" s="25"/>
      <c r="N244" s="24"/>
    </row>
    <row r="245" spans="2:14">
      <c r="B245" s="34"/>
      <c r="C245" s="20"/>
      <c r="D245" s="21"/>
      <c r="E245" s="38"/>
      <c r="F245" s="21"/>
      <c r="G245" s="21"/>
      <c r="H245" s="21"/>
      <c r="I245" s="21"/>
      <c r="J245" s="22">
        <f t="shared" si="14"/>
        <v>0</v>
      </c>
      <c r="K245" s="22"/>
      <c r="L245" s="43">
        <f t="shared" si="15"/>
        <v>0</v>
      </c>
      <c r="M245" s="25"/>
      <c r="N245" s="24"/>
    </row>
    <row r="246" spans="2:14">
      <c r="B246" s="34"/>
      <c r="C246" s="20"/>
      <c r="D246" s="21"/>
      <c r="E246" s="38"/>
      <c r="F246" s="21"/>
      <c r="G246" s="21"/>
      <c r="H246" s="21"/>
      <c r="I246" s="21"/>
      <c r="J246" s="22">
        <f t="shared" si="14"/>
        <v>0</v>
      </c>
      <c r="K246" s="22"/>
      <c r="L246" s="43">
        <f t="shared" si="15"/>
        <v>0</v>
      </c>
      <c r="M246" s="25"/>
      <c r="N246" s="24"/>
    </row>
    <row r="247" spans="2:14">
      <c r="B247" s="34"/>
      <c r="C247" s="20"/>
      <c r="D247" s="21"/>
      <c r="E247" s="38"/>
      <c r="F247" s="21"/>
      <c r="G247" s="21"/>
      <c r="H247" s="21"/>
      <c r="I247" s="21"/>
      <c r="J247" s="22">
        <f t="shared" si="14"/>
        <v>0</v>
      </c>
      <c r="K247" s="22"/>
      <c r="L247" s="43">
        <f t="shared" si="15"/>
        <v>0</v>
      </c>
      <c r="M247" s="25"/>
      <c r="N247" s="24"/>
    </row>
    <row r="248" spans="2:14">
      <c r="B248" s="34"/>
      <c r="C248" s="20"/>
      <c r="D248" s="21"/>
      <c r="E248" s="38"/>
      <c r="F248" s="21"/>
      <c r="G248" s="21"/>
      <c r="H248" s="21"/>
      <c r="I248" s="21"/>
      <c r="J248" s="22">
        <f t="shared" si="14"/>
        <v>0</v>
      </c>
      <c r="K248" s="22"/>
      <c r="L248" s="43">
        <f t="shared" si="15"/>
        <v>0</v>
      </c>
      <c r="M248" s="25"/>
      <c r="N248" s="24"/>
    </row>
    <row r="249" spans="2:14">
      <c r="B249" s="34"/>
      <c r="C249" s="20"/>
      <c r="D249" s="21"/>
      <c r="E249" s="38"/>
      <c r="F249" s="21"/>
      <c r="G249" s="21"/>
      <c r="H249" s="21"/>
      <c r="I249" s="21"/>
      <c r="J249" s="22">
        <f t="shared" si="14"/>
        <v>0</v>
      </c>
      <c r="K249" s="22"/>
      <c r="L249" s="43">
        <f t="shared" si="15"/>
        <v>0</v>
      </c>
      <c r="M249" s="25"/>
      <c r="N249" s="24"/>
    </row>
    <row r="250" spans="2:14">
      <c r="B250" s="34"/>
      <c r="C250" s="20"/>
      <c r="D250" s="21"/>
      <c r="E250" s="38"/>
      <c r="F250" s="21"/>
      <c r="G250" s="21"/>
      <c r="H250" s="21"/>
      <c r="I250" s="21"/>
      <c r="J250" s="22">
        <f t="shared" si="14"/>
        <v>0</v>
      </c>
      <c r="K250" s="22"/>
      <c r="L250" s="43">
        <f t="shared" si="15"/>
        <v>0</v>
      </c>
      <c r="M250" s="25"/>
      <c r="N250" s="24"/>
    </row>
    <row r="251" spans="2:14">
      <c r="B251" s="34"/>
      <c r="C251" s="20"/>
      <c r="D251" s="21"/>
      <c r="E251" s="38"/>
      <c r="F251" s="21"/>
      <c r="G251" s="21"/>
      <c r="H251" s="21"/>
      <c r="I251" s="21"/>
      <c r="J251" s="22">
        <f t="shared" si="14"/>
        <v>0</v>
      </c>
      <c r="K251" s="22"/>
      <c r="L251" s="43">
        <f t="shared" si="15"/>
        <v>0</v>
      </c>
      <c r="M251" s="25"/>
      <c r="N251" s="24"/>
    </row>
    <row r="252" spans="2:14">
      <c r="B252" s="34"/>
      <c r="C252" s="20"/>
      <c r="D252" s="21"/>
      <c r="E252" s="38"/>
      <c r="F252" s="21"/>
      <c r="G252" s="21"/>
      <c r="H252" s="21"/>
      <c r="I252" s="21"/>
      <c r="J252" s="22">
        <f t="shared" si="14"/>
        <v>0</v>
      </c>
      <c r="K252" s="22"/>
      <c r="L252" s="43">
        <f t="shared" si="15"/>
        <v>0</v>
      </c>
      <c r="M252" s="25"/>
      <c r="N252" s="24"/>
    </row>
    <row r="253" spans="2:14">
      <c r="B253" s="34"/>
      <c r="C253" s="20"/>
      <c r="D253" s="21"/>
      <c r="E253" s="38"/>
      <c r="F253" s="21"/>
      <c r="G253" s="21"/>
      <c r="H253" s="21"/>
      <c r="I253" s="21"/>
      <c r="J253" s="22">
        <f t="shared" si="14"/>
        <v>0</v>
      </c>
      <c r="K253" s="22"/>
      <c r="L253" s="43">
        <f t="shared" si="15"/>
        <v>0</v>
      </c>
      <c r="M253" s="25"/>
      <c r="N253" s="24"/>
    </row>
    <row r="254" spans="2:14">
      <c r="B254" s="34"/>
      <c r="C254" s="20"/>
      <c r="D254" s="21"/>
      <c r="E254" s="38"/>
      <c r="F254" s="21"/>
      <c r="G254" s="21"/>
      <c r="H254" s="21"/>
      <c r="I254" s="21"/>
      <c r="J254" s="22">
        <f t="shared" ref="J254:J264" si="16">E254</f>
        <v>0</v>
      </c>
      <c r="K254" s="22"/>
      <c r="L254" s="43">
        <f t="shared" ref="L254:L265" si="17">J254-K254</f>
        <v>0</v>
      </c>
      <c r="M254" s="25"/>
      <c r="N254" s="24"/>
    </row>
    <row r="255" spans="2:14">
      <c r="B255" s="34"/>
      <c r="C255" s="20"/>
      <c r="D255" s="21"/>
      <c r="E255" s="38"/>
      <c r="F255" s="21"/>
      <c r="G255" s="21"/>
      <c r="H255" s="21"/>
      <c r="I255" s="21"/>
      <c r="J255" s="22">
        <f t="shared" si="16"/>
        <v>0</v>
      </c>
      <c r="K255" s="22"/>
      <c r="L255" s="43">
        <f t="shared" si="17"/>
        <v>0</v>
      </c>
      <c r="M255" s="25"/>
      <c r="N255" s="24"/>
    </row>
    <row r="256" spans="2:14">
      <c r="B256" s="34"/>
      <c r="C256" s="20"/>
      <c r="D256" s="21"/>
      <c r="E256" s="38"/>
      <c r="F256" s="21"/>
      <c r="G256" s="21"/>
      <c r="H256" s="21"/>
      <c r="I256" s="21"/>
      <c r="J256" s="22">
        <f t="shared" si="16"/>
        <v>0</v>
      </c>
      <c r="K256" s="22"/>
      <c r="L256" s="43">
        <f t="shared" si="17"/>
        <v>0</v>
      </c>
      <c r="M256" s="25"/>
      <c r="N256" s="24"/>
    </row>
    <row r="257" spans="2:14">
      <c r="B257" s="34"/>
      <c r="C257" s="20"/>
      <c r="D257" s="21"/>
      <c r="E257" s="38"/>
      <c r="F257" s="21"/>
      <c r="G257" s="21"/>
      <c r="H257" s="21"/>
      <c r="I257" s="21"/>
      <c r="J257" s="22">
        <f t="shared" si="16"/>
        <v>0</v>
      </c>
      <c r="K257" s="22"/>
      <c r="L257" s="43">
        <f t="shared" si="17"/>
        <v>0</v>
      </c>
      <c r="M257" s="25"/>
      <c r="N257" s="24"/>
    </row>
    <row r="258" spans="2:14">
      <c r="B258" s="34"/>
      <c r="C258" s="20"/>
      <c r="D258" s="21"/>
      <c r="E258" s="38"/>
      <c r="F258" s="21"/>
      <c r="G258" s="21"/>
      <c r="H258" s="21"/>
      <c r="I258" s="21"/>
      <c r="J258" s="22">
        <f t="shared" si="16"/>
        <v>0</v>
      </c>
      <c r="K258" s="22"/>
      <c r="L258" s="43">
        <f t="shared" si="17"/>
        <v>0</v>
      </c>
      <c r="M258" s="25"/>
      <c r="N258" s="24"/>
    </row>
    <row r="259" spans="2:14">
      <c r="B259" s="34"/>
      <c r="C259" s="20"/>
      <c r="D259" s="21"/>
      <c r="E259" s="38"/>
      <c r="F259" s="21"/>
      <c r="G259" s="21"/>
      <c r="H259" s="21"/>
      <c r="I259" s="21"/>
      <c r="J259" s="22">
        <f t="shared" si="16"/>
        <v>0</v>
      </c>
      <c r="K259" s="22"/>
      <c r="L259" s="43">
        <f t="shared" si="17"/>
        <v>0</v>
      </c>
      <c r="M259" s="25"/>
      <c r="N259" s="24"/>
    </row>
    <row r="260" spans="2:14">
      <c r="B260" s="34"/>
      <c r="C260" s="20"/>
      <c r="D260" s="21"/>
      <c r="E260" s="38"/>
      <c r="F260" s="21"/>
      <c r="G260" s="21"/>
      <c r="H260" s="21"/>
      <c r="I260" s="21"/>
      <c r="J260" s="22">
        <f t="shared" si="16"/>
        <v>0</v>
      </c>
      <c r="K260" s="22"/>
      <c r="L260" s="43">
        <f t="shared" si="17"/>
        <v>0</v>
      </c>
      <c r="M260" s="25"/>
      <c r="N260" s="24"/>
    </row>
    <row r="261" spans="2:14">
      <c r="B261" s="34"/>
      <c r="C261" s="20"/>
      <c r="D261" s="21"/>
      <c r="E261" s="38"/>
      <c r="F261" s="21"/>
      <c r="G261" s="21"/>
      <c r="H261" s="21"/>
      <c r="I261" s="21"/>
      <c r="J261" s="22">
        <f t="shared" si="16"/>
        <v>0</v>
      </c>
      <c r="K261" s="22"/>
      <c r="L261" s="43">
        <f t="shared" si="17"/>
        <v>0</v>
      </c>
      <c r="M261" s="25"/>
      <c r="N261" s="24"/>
    </row>
    <row r="262" spans="2:14">
      <c r="B262" s="34"/>
      <c r="C262" s="20"/>
      <c r="D262" s="21"/>
      <c r="E262" s="38"/>
      <c r="F262" s="21"/>
      <c r="G262" s="21"/>
      <c r="H262" s="21"/>
      <c r="I262" s="21"/>
      <c r="J262" s="22">
        <f t="shared" si="16"/>
        <v>0</v>
      </c>
      <c r="K262" s="22"/>
      <c r="L262" s="43">
        <f t="shared" si="17"/>
        <v>0</v>
      </c>
      <c r="M262" s="25"/>
      <c r="N262" s="24"/>
    </row>
    <row r="263" spans="2:14">
      <c r="B263" s="34"/>
      <c r="C263" s="20"/>
      <c r="D263" s="21"/>
      <c r="E263" s="38"/>
      <c r="F263" s="21"/>
      <c r="G263" s="21"/>
      <c r="H263" s="21"/>
      <c r="I263" s="21"/>
      <c r="J263" s="22">
        <f t="shared" si="16"/>
        <v>0</v>
      </c>
      <c r="K263" s="22"/>
      <c r="L263" s="43">
        <f t="shared" si="17"/>
        <v>0</v>
      </c>
      <c r="M263" s="25"/>
      <c r="N263" s="24"/>
    </row>
    <row r="264" spans="2:14">
      <c r="B264" s="44"/>
      <c r="C264" s="20"/>
      <c r="D264" s="21"/>
      <c r="E264" s="38"/>
      <c r="F264" s="21"/>
      <c r="G264" s="21"/>
      <c r="H264" s="21"/>
      <c r="I264" s="21"/>
      <c r="J264" s="22">
        <f t="shared" si="16"/>
        <v>0</v>
      </c>
      <c r="K264" s="22"/>
      <c r="L264" s="43">
        <f t="shared" si="17"/>
        <v>0</v>
      </c>
      <c r="M264" s="25"/>
      <c r="N264" s="24"/>
    </row>
    <row r="265" spans="2:14">
      <c r="B265" s="45"/>
      <c r="C265" s="46"/>
      <c r="D265" s="47"/>
      <c r="E265" s="48">
        <f>SUM(E8:E264)</f>
        <v>108948.6</v>
      </c>
      <c r="F265" s="45"/>
      <c r="G265" s="49"/>
      <c r="H265" s="50"/>
      <c r="I265" s="51" t="s">
        <v>383</v>
      </c>
      <c r="J265" s="52">
        <f>SUBTOTAL(9,J8:J264)</f>
        <v>108948.6</v>
      </c>
      <c r="K265" s="52">
        <f>SUBTOTAL(9,K8:K264)</f>
        <v>110196.83</v>
      </c>
      <c r="L265" s="53">
        <f t="shared" si="17"/>
        <v>-1248.23</v>
      </c>
      <c r="M265" s="54"/>
      <c r="N265" s="53"/>
    </row>
    <row r="1048564" spans="2:7">
      <c r="B1048564" s="55"/>
    </row>
    <row r="1048568" spans="2:7">
      <c r="G1048568" s="23"/>
    </row>
  </sheetData>
  <autoFilter xmlns:etc="http://www.wps.cn/officeDocument/2017/etCustomData" ref="B6:N264" etc:filterBottomFollowUsedRange="0">
    <extLst/>
  </autoFilter>
  <mergeCells count="12">
    <mergeCell ref="B2:L2"/>
    <mergeCell ref="C4:D4"/>
    <mergeCell ref="G6:J6"/>
    <mergeCell ref="B6:B7"/>
    <mergeCell ref="C6:C7"/>
    <mergeCell ref="D6:D7"/>
    <mergeCell ref="E6:E7"/>
    <mergeCell ref="F6:F7"/>
    <mergeCell ref="K6:K7"/>
    <mergeCell ref="L6:L7"/>
    <mergeCell ref="M6:M7"/>
    <mergeCell ref="N6:N7"/>
  </mergeCells>
  <pageMargins left="0.7" right="0.7" top="0.75" bottom="0.75" header="0.3" footer="0.3"/>
  <pageSetup paperSize="1" orientation="portrait" horizontalDpi="360" verticalDpi="36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048568"/>
  <sheetViews>
    <sheetView topLeftCell="A38" workbookViewId="0">
      <selection activeCell="G56" sqref="G56"/>
    </sheetView>
  </sheetViews>
  <sheetFormatPr defaultColWidth="11" defaultRowHeight="15"/>
  <cols>
    <col min="1" max="1" width="3.85714285714286" customWidth="1"/>
    <col min="2" max="2" width="11" customWidth="1"/>
    <col min="3" max="3" width="6.14285714285714" customWidth="1"/>
    <col min="4" max="4" width="14.7142857142857" customWidth="1"/>
    <col min="5" max="5" width="12.5714285714286" customWidth="1"/>
    <col min="6" max="6" width="17.7142857142857" customWidth="1"/>
    <col min="8" max="8" width="12.1428571428571" customWidth="1"/>
    <col min="9" max="9" width="12.2857142857143" customWidth="1"/>
    <col min="10" max="10" width="14.2857142857143" customWidth="1"/>
    <col min="11" max="11" width="15.5714285714286" customWidth="1"/>
    <col min="12" max="12" width="11.4285714285714" customWidth="1"/>
    <col min="13" max="13" width="24.7142857142857" customWidth="1"/>
    <col min="14" max="14" width="18" customWidth="1"/>
  </cols>
  <sheetData>
    <row r="2" ht="21" spans="2:1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5.75"/>
    <row r="4" ht="15.75" spans="2:14">
      <c r="B4" s="3" t="s">
        <v>1</v>
      </c>
      <c r="C4" s="4">
        <f ca="1">TODAY()</f>
        <v>46247</v>
      </c>
      <c r="D4" s="5"/>
      <c r="M4" t="s">
        <v>772</v>
      </c>
    </row>
    <row r="6" spans="2:14">
      <c r="B6" s="6" t="s">
        <v>2</v>
      </c>
      <c r="C6" s="6" t="s">
        <v>3</v>
      </c>
      <c r="D6" s="6" t="s">
        <v>4</v>
      </c>
      <c r="E6" s="7" t="s">
        <v>5</v>
      </c>
      <c r="F6" s="7" t="s">
        <v>6</v>
      </c>
      <c r="G6" s="8" t="s">
        <v>7</v>
      </c>
      <c r="H6" s="9"/>
      <c r="I6" s="9"/>
      <c r="J6" s="10"/>
      <c r="K6" s="11" t="s">
        <v>8</v>
      </c>
      <c r="L6" s="11" t="s">
        <v>9</v>
      </c>
      <c r="M6" s="12" t="s">
        <v>10</v>
      </c>
      <c r="N6" s="12" t="s">
        <v>11</v>
      </c>
    </row>
    <row r="7" spans="2:14">
      <c r="B7" s="13"/>
      <c r="C7" s="13"/>
      <c r="D7" s="14"/>
      <c r="E7" s="13"/>
      <c r="F7" s="13"/>
      <c r="G7" s="15" t="s">
        <v>12</v>
      </c>
      <c r="H7" s="15" t="s">
        <v>13</v>
      </c>
      <c r="I7" s="15" t="s">
        <v>2</v>
      </c>
      <c r="J7" s="16" t="s">
        <v>14</v>
      </c>
      <c r="K7" s="17"/>
      <c r="L7" s="17"/>
      <c r="M7" s="17"/>
      <c r="N7" s="18"/>
    </row>
    <row r="8" spans="2:14">
      <c r="B8" s="19">
        <v>46058</v>
      </c>
      <c r="C8" s="20" t="s">
        <v>15</v>
      </c>
      <c r="D8" s="21" t="s">
        <v>1558</v>
      </c>
      <c r="E8" s="22">
        <v>304.48</v>
      </c>
      <c r="F8" s="23" t="s">
        <v>17</v>
      </c>
      <c r="G8" s="23" t="s">
        <v>37</v>
      </c>
      <c r="H8" s="21" t="s">
        <v>1559</v>
      </c>
      <c r="I8" s="19">
        <v>46058</v>
      </c>
      <c r="J8" s="22">
        <f t="shared" ref="J8:J58" si="0">E8</f>
        <v>304.48</v>
      </c>
      <c r="K8" s="22">
        <v>304.48</v>
      </c>
      <c r="L8" s="24">
        <f t="shared" ref="L8:L38" si="1">J8-K8</f>
        <v>0</v>
      </c>
      <c r="M8" s="25"/>
      <c r="N8" s="26"/>
    </row>
    <row r="9" spans="2:14">
      <c r="B9" s="56">
        <v>46058</v>
      </c>
      <c r="C9" s="57" t="s">
        <v>15</v>
      </c>
      <c r="D9" s="58" t="s">
        <v>1560</v>
      </c>
      <c r="E9" s="59">
        <v>2411.42</v>
      </c>
      <c r="F9" s="60" t="s">
        <v>17</v>
      </c>
      <c r="G9" s="60" t="s">
        <v>21</v>
      </c>
      <c r="H9" s="58"/>
      <c r="I9" s="56">
        <v>46058</v>
      </c>
      <c r="J9" s="62">
        <f t="shared" si="0"/>
        <v>2411.42</v>
      </c>
      <c r="K9" s="59">
        <v>2411.42</v>
      </c>
      <c r="L9" s="24">
        <f t="shared" si="1"/>
        <v>0</v>
      </c>
      <c r="M9" s="25"/>
      <c r="N9" s="70" t="s">
        <v>56</v>
      </c>
    </row>
    <row r="10" spans="2:14">
      <c r="B10" s="56"/>
      <c r="C10" s="57"/>
      <c r="D10" s="58"/>
      <c r="E10" s="59"/>
      <c r="F10" s="60" t="s">
        <v>758</v>
      </c>
      <c r="G10" s="60"/>
      <c r="H10" s="61" t="s">
        <v>1561</v>
      </c>
      <c r="I10" s="56"/>
      <c r="J10" s="62">
        <f t="shared" si="0"/>
        <v>0</v>
      </c>
      <c r="K10" s="59"/>
      <c r="L10" s="24">
        <f t="shared" si="1"/>
        <v>0</v>
      </c>
      <c r="M10" s="25"/>
      <c r="N10" s="26"/>
    </row>
    <row r="11" spans="2:14">
      <c r="B11" s="19">
        <v>46117</v>
      </c>
      <c r="C11" s="20" t="s">
        <v>15</v>
      </c>
      <c r="D11" s="21" t="s">
        <v>1562</v>
      </c>
      <c r="E11" s="29">
        <v>249.82</v>
      </c>
      <c r="F11" s="23" t="s">
        <v>17</v>
      </c>
      <c r="G11" s="23" t="s">
        <v>21</v>
      </c>
      <c r="H11" s="21" t="s">
        <v>1563</v>
      </c>
      <c r="I11" s="19">
        <v>46117</v>
      </c>
      <c r="J11" s="22">
        <f t="shared" si="0"/>
        <v>249.82</v>
      </c>
      <c r="K11" s="29">
        <v>249.82</v>
      </c>
      <c r="L11" s="24">
        <f t="shared" si="1"/>
        <v>0</v>
      </c>
      <c r="M11" s="25"/>
      <c r="N11" s="26"/>
    </row>
    <row r="12" spans="2:14">
      <c r="B12" s="19">
        <v>46117</v>
      </c>
      <c r="C12" s="20" t="s">
        <v>15</v>
      </c>
      <c r="D12" s="21" t="s">
        <v>1564</v>
      </c>
      <c r="E12" s="22">
        <v>176.35</v>
      </c>
      <c r="F12" s="23" t="s">
        <v>29</v>
      </c>
      <c r="G12" s="23"/>
      <c r="H12" s="23" t="s">
        <v>1565</v>
      </c>
      <c r="I12" s="19">
        <v>46117</v>
      </c>
      <c r="J12" s="22">
        <f t="shared" si="0"/>
        <v>176.35</v>
      </c>
      <c r="K12" s="22">
        <v>176.35</v>
      </c>
      <c r="L12" s="24">
        <f t="shared" si="1"/>
        <v>0</v>
      </c>
      <c r="M12" s="25"/>
      <c r="N12" s="26"/>
    </row>
    <row r="13" spans="2:14">
      <c r="B13" s="56">
        <v>46117</v>
      </c>
      <c r="C13" s="57" t="s">
        <v>15</v>
      </c>
      <c r="D13" s="58" t="s">
        <v>1566</v>
      </c>
      <c r="E13" s="59">
        <v>2051.78</v>
      </c>
      <c r="F13" s="61" t="s">
        <v>17</v>
      </c>
      <c r="G13" s="60" t="s">
        <v>37</v>
      </c>
      <c r="H13" s="71" t="s">
        <v>1567</v>
      </c>
      <c r="I13" s="56">
        <v>46117</v>
      </c>
      <c r="J13" s="62">
        <f t="shared" si="0"/>
        <v>2051.78</v>
      </c>
      <c r="K13" s="59">
        <v>2051.78</v>
      </c>
      <c r="L13" s="24">
        <f t="shared" si="1"/>
        <v>0</v>
      </c>
      <c r="M13" s="25"/>
      <c r="N13" s="70" t="s">
        <v>56</v>
      </c>
    </row>
    <row r="14" spans="2:14">
      <c r="B14" s="19">
        <v>46147</v>
      </c>
      <c r="C14" s="20" t="s">
        <v>15</v>
      </c>
      <c r="D14" s="21" t="s">
        <v>1568</v>
      </c>
      <c r="E14" s="22">
        <v>309.75</v>
      </c>
      <c r="F14" s="28" t="s">
        <v>29</v>
      </c>
      <c r="G14" s="28"/>
      <c r="H14" s="21" t="s">
        <v>1569</v>
      </c>
      <c r="I14" s="19">
        <v>46147</v>
      </c>
      <c r="J14" s="22">
        <f t="shared" si="0"/>
        <v>309.75</v>
      </c>
      <c r="K14" s="22">
        <v>309.75</v>
      </c>
      <c r="L14" s="24">
        <f t="shared" si="1"/>
        <v>0</v>
      </c>
      <c r="M14" s="25"/>
      <c r="N14" s="26"/>
    </row>
    <row r="15" spans="2:14">
      <c r="B15" s="19">
        <v>46147</v>
      </c>
      <c r="C15" s="20" t="s">
        <v>15</v>
      </c>
      <c r="D15" s="21" t="s">
        <v>1570</v>
      </c>
      <c r="E15" s="22">
        <v>1780.33</v>
      </c>
      <c r="F15" s="21" t="s">
        <v>17</v>
      </c>
      <c r="G15" s="21" t="s">
        <v>21</v>
      </c>
      <c r="H15" s="21" t="s">
        <v>1542</v>
      </c>
      <c r="I15" s="34" t="s">
        <v>1540</v>
      </c>
      <c r="J15" s="22">
        <f t="shared" si="0"/>
        <v>1780.33</v>
      </c>
      <c r="K15" s="22">
        <v>1780.33</v>
      </c>
      <c r="L15" s="24">
        <f t="shared" si="1"/>
        <v>0</v>
      </c>
      <c r="M15" s="25"/>
      <c r="N15" s="26"/>
    </row>
    <row r="16" spans="2:14">
      <c r="B16" s="19">
        <v>46147</v>
      </c>
      <c r="C16" s="20" t="s">
        <v>15</v>
      </c>
      <c r="D16" s="21" t="s">
        <v>1571</v>
      </c>
      <c r="E16" s="22">
        <v>90.84</v>
      </c>
      <c r="F16" s="23" t="s">
        <v>29</v>
      </c>
      <c r="G16" s="23"/>
      <c r="H16" s="23" t="s">
        <v>1572</v>
      </c>
      <c r="I16" s="19">
        <v>46147</v>
      </c>
      <c r="J16" s="22">
        <f t="shared" si="0"/>
        <v>90.84</v>
      </c>
      <c r="K16" s="22">
        <v>90.84</v>
      </c>
      <c r="L16" s="24">
        <f t="shared" si="1"/>
        <v>0</v>
      </c>
      <c r="M16" s="25"/>
      <c r="N16" s="26"/>
    </row>
    <row r="17" spans="2:14">
      <c r="B17" s="72">
        <v>46147</v>
      </c>
      <c r="C17" s="73" t="s">
        <v>15</v>
      </c>
      <c r="D17" s="74" t="s">
        <v>1573</v>
      </c>
      <c r="E17" s="75">
        <v>45.39</v>
      </c>
      <c r="F17" s="74" t="s">
        <v>29</v>
      </c>
      <c r="G17" s="74"/>
      <c r="H17" s="74" t="s">
        <v>1544</v>
      </c>
      <c r="I17" s="72">
        <v>46147</v>
      </c>
      <c r="J17" s="75">
        <f t="shared" si="0"/>
        <v>45.39</v>
      </c>
      <c r="K17" s="75">
        <v>45.39</v>
      </c>
      <c r="L17" s="24">
        <f t="shared" si="1"/>
        <v>0</v>
      </c>
      <c r="M17" s="25"/>
      <c r="N17" s="70" t="s">
        <v>33</v>
      </c>
    </row>
    <row r="18" spans="2:14">
      <c r="B18" s="19">
        <v>46147</v>
      </c>
      <c r="C18" s="20" t="s">
        <v>15</v>
      </c>
      <c r="D18" s="21" t="s">
        <v>1574</v>
      </c>
      <c r="E18" s="22">
        <v>90.84</v>
      </c>
      <c r="F18" s="21" t="s">
        <v>1546</v>
      </c>
      <c r="G18" s="21"/>
      <c r="H18" s="21" t="s">
        <v>1547</v>
      </c>
      <c r="I18" s="19">
        <v>46147</v>
      </c>
      <c r="J18" s="22">
        <f t="shared" si="0"/>
        <v>90.84</v>
      </c>
      <c r="K18" s="22">
        <v>90.84</v>
      </c>
      <c r="L18" s="24">
        <f t="shared" si="1"/>
        <v>0</v>
      </c>
      <c r="M18" s="25"/>
      <c r="N18" s="26"/>
    </row>
    <row r="19" spans="2:14">
      <c r="B19" s="72">
        <v>46147</v>
      </c>
      <c r="C19" s="73" t="s">
        <v>15</v>
      </c>
      <c r="D19" s="74" t="s">
        <v>1575</v>
      </c>
      <c r="E19" s="75">
        <v>348.88</v>
      </c>
      <c r="F19" s="74" t="s">
        <v>17</v>
      </c>
      <c r="G19" s="74" t="s">
        <v>18</v>
      </c>
      <c r="H19" s="74" t="s">
        <v>1549</v>
      </c>
      <c r="I19" s="72">
        <v>46147</v>
      </c>
      <c r="J19" s="75">
        <f t="shared" si="0"/>
        <v>348.88</v>
      </c>
      <c r="K19" s="75">
        <v>348.88</v>
      </c>
      <c r="L19" s="24">
        <f t="shared" si="1"/>
        <v>0</v>
      </c>
      <c r="M19" s="25"/>
      <c r="N19" s="70" t="s">
        <v>23</v>
      </c>
    </row>
    <row r="20" spans="2:14">
      <c r="B20" s="19">
        <v>46147</v>
      </c>
      <c r="C20" s="20" t="s">
        <v>15</v>
      </c>
      <c r="D20" s="21" t="s">
        <v>1576</v>
      </c>
      <c r="E20" s="22">
        <v>142.21</v>
      </c>
      <c r="F20" s="21" t="s">
        <v>29</v>
      </c>
      <c r="G20" s="21"/>
      <c r="H20" s="21" t="s">
        <v>1551</v>
      </c>
      <c r="I20" s="19">
        <v>46147</v>
      </c>
      <c r="J20" s="22">
        <f t="shared" si="0"/>
        <v>142.21</v>
      </c>
      <c r="K20" s="22">
        <v>142.21</v>
      </c>
      <c r="L20" s="24">
        <f t="shared" si="1"/>
        <v>0</v>
      </c>
      <c r="M20" s="25"/>
      <c r="N20" s="26"/>
    </row>
    <row r="21" spans="2:14">
      <c r="B21" s="19">
        <v>46147</v>
      </c>
      <c r="C21" s="20" t="s">
        <v>15</v>
      </c>
      <c r="D21" s="21" t="s">
        <v>1577</v>
      </c>
      <c r="E21" s="22">
        <v>442.19</v>
      </c>
      <c r="F21" s="21" t="s">
        <v>29</v>
      </c>
      <c r="G21" s="21"/>
      <c r="H21" s="21" t="s">
        <v>1553</v>
      </c>
      <c r="I21" s="19">
        <v>46147</v>
      </c>
      <c r="J21" s="22">
        <f t="shared" si="0"/>
        <v>442.19</v>
      </c>
      <c r="K21" s="22">
        <v>442.19</v>
      </c>
      <c r="L21" s="24">
        <f t="shared" si="1"/>
        <v>0</v>
      </c>
      <c r="M21" s="25"/>
      <c r="N21" s="26"/>
    </row>
    <row r="22" spans="2:14">
      <c r="B22" s="19">
        <v>46147</v>
      </c>
      <c r="C22" s="20" t="s">
        <v>15</v>
      </c>
      <c r="D22" s="21" t="s">
        <v>1578</v>
      </c>
      <c r="E22" s="22">
        <v>96.79</v>
      </c>
      <c r="F22" s="23" t="s">
        <v>17</v>
      </c>
      <c r="G22" s="28" t="s">
        <v>18</v>
      </c>
      <c r="H22" s="21" t="s">
        <v>1579</v>
      </c>
      <c r="I22" s="19">
        <v>46147</v>
      </c>
      <c r="J22" s="22">
        <f t="shared" si="0"/>
        <v>96.79</v>
      </c>
      <c r="K22" s="22">
        <v>96.79</v>
      </c>
      <c r="L22" s="24">
        <f t="shared" si="1"/>
        <v>0</v>
      </c>
      <c r="M22" s="25"/>
      <c r="N22" s="26"/>
    </row>
    <row r="23" spans="2:14">
      <c r="B23" s="56">
        <v>46147</v>
      </c>
      <c r="C23" s="57" t="s">
        <v>15</v>
      </c>
      <c r="D23" s="58" t="s">
        <v>1580</v>
      </c>
      <c r="E23" s="62">
        <v>526.28</v>
      </c>
      <c r="F23" s="60" t="s">
        <v>17</v>
      </c>
      <c r="G23" s="61" t="s">
        <v>21</v>
      </c>
      <c r="H23" s="60" t="s">
        <v>1581</v>
      </c>
      <c r="I23" s="56">
        <v>46147</v>
      </c>
      <c r="J23" s="62">
        <f t="shared" si="0"/>
        <v>526.28</v>
      </c>
      <c r="K23" s="62">
        <v>526.28</v>
      </c>
      <c r="L23" s="24">
        <f t="shared" si="1"/>
        <v>0</v>
      </c>
      <c r="M23" s="25"/>
      <c r="N23" s="70" t="s">
        <v>56</v>
      </c>
    </row>
    <row r="24" spans="2:14">
      <c r="B24" s="56">
        <v>46147</v>
      </c>
      <c r="C24" s="57" t="s">
        <v>15</v>
      </c>
      <c r="D24" s="58" t="s">
        <v>1582</v>
      </c>
      <c r="E24" s="62">
        <v>1403.91</v>
      </c>
      <c r="F24" s="58" t="s">
        <v>17</v>
      </c>
      <c r="G24" s="58" t="s">
        <v>18</v>
      </c>
      <c r="H24" s="58" t="s">
        <v>1557</v>
      </c>
      <c r="I24" s="56">
        <v>46147</v>
      </c>
      <c r="J24" s="62">
        <f t="shared" si="0"/>
        <v>1403.91</v>
      </c>
      <c r="K24" s="62">
        <v>2651.83</v>
      </c>
      <c r="L24" s="24">
        <f t="shared" si="1"/>
        <v>-1247.92</v>
      </c>
      <c r="M24" s="25" t="s">
        <v>595</v>
      </c>
      <c r="N24" s="70" t="s">
        <v>56</v>
      </c>
    </row>
    <row r="25" spans="2:14">
      <c r="B25" s="56">
        <v>46147</v>
      </c>
      <c r="C25" s="57" t="s">
        <v>15</v>
      </c>
      <c r="D25" s="58" t="s">
        <v>1583</v>
      </c>
      <c r="E25" s="62">
        <v>873.13</v>
      </c>
      <c r="F25" s="58" t="s">
        <v>17</v>
      </c>
      <c r="G25" s="61" t="s">
        <v>21</v>
      </c>
      <c r="H25" s="58" t="s">
        <v>1584</v>
      </c>
      <c r="I25" s="56">
        <v>46147</v>
      </c>
      <c r="J25" s="62">
        <f t="shared" si="0"/>
        <v>873.13</v>
      </c>
      <c r="K25" s="62">
        <v>873.13</v>
      </c>
      <c r="L25" s="24">
        <f t="shared" si="1"/>
        <v>0</v>
      </c>
      <c r="M25" s="25"/>
      <c r="N25" s="70" t="s">
        <v>56</v>
      </c>
    </row>
    <row r="26" spans="2:14">
      <c r="B26" s="19">
        <v>46179</v>
      </c>
      <c r="C26" s="20" t="s">
        <v>15</v>
      </c>
      <c r="D26" s="21" t="s">
        <v>1585</v>
      </c>
      <c r="E26" s="22">
        <v>177.52</v>
      </c>
      <c r="F26" s="21" t="s">
        <v>17</v>
      </c>
      <c r="G26" s="28" t="s">
        <v>21</v>
      </c>
      <c r="H26" s="21" t="s">
        <v>1586</v>
      </c>
      <c r="I26" s="19">
        <v>46179</v>
      </c>
      <c r="J26" s="22">
        <f t="shared" si="0"/>
        <v>177.52</v>
      </c>
      <c r="K26" s="22">
        <v>177.52</v>
      </c>
      <c r="L26" s="24">
        <f t="shared" si="1"/>
        <v>0</v>
      </c>
      <c r="M26" s="25"/>
      <c r="N26" s="26"/>
    </row>
    <row r="27" spans="2:14">
      <c r="B27" s="19">
        <v>46179</v>
      </c>
      <c r="C27" s="20" t="s">
        <v>15</v>
      </c>
      <c r="D27" s="21" t="s">
        <v>1587</v>
      </c>
      <c r="E27" s="22">
        <v>375.33</v>
      </c>
      <c r="F27" s="21" t="s">
        <v>17</v>
      </c>
      <c r="G27" s="23" t="s">
        <v>37</v>
      </c>
      <c r="H27" s="21" t="s">
        <v>1588</v>
      </c>
      <c r="I27" s="19">
        <v>46179</v>
      </c>
      <c r="J27" s="22">
        <f t="shared" si="0"/>
        <v>375.33</v>
      </c>
      <c r="K27" s="22">
        <v>375.33</v>
      </c>
      <c r="L27" s="24">
        <f t="shared" si="1"/>
        <v>0</v>
      </c>
      <c r="M27" s="25"/>
      <c r="N27" s="26"/>
    </row>
    <row r="28" spans="2:14">
      <c r="B28" s="72">
        <v>46179</v>
      </c>
      <c r="C28" s="73" t="s">
        <v>15</v>
      </c>
      <c r="D28" s="74" t="s">
        <v>1589</v>
      </c>
      <c r="E28" s="75">
        <v>246.68</v>
      </c>
      <c r="F28" s="74" t="s">
        <v>29</v>
      </c>
      <c r="G28" s="76"/>
      <c r="H28" s="74" t="s">
        <v>1590</v>
      </c>
      <c r="I28" s="72">
        <v>46179</v>
      </c>
      <c r="J28" s="75">
        <f t="shared" si="0"/>
        <v>246.68</v>
      </c>
      <c r="K28" s="75">
        <v>246.68</v>
      </c>
      <c r="L28" s="24">
        <f t="shared" si="1"/>
        <v>0</v>
      </c>
      <c r="M28" s="25"/>
      <c r="N28" s="70" t="s">
        <v>23</v>
      </c>
    </row>
    <row r="29" spans="2:14">
      <c r="B29" s="19">
        <v>46179</v>
      </c>
      <c r="C29" s="20" t="s">
        <v>15</v>
      </c>
      <c r="D29" s="21" t="s">
        <v>1591</v>
      </c>
      <c r="E29" s="22">
        <v>224.68</v>
      </c>
      <c r="F29" s="21" t="s">
        <v>17</v>
      </c>
      <c r="G29" s="28" t="s">
        <v>18</v>
      </c>
      <c r="H29" s="21" t="s">
        <v>1592</v>
      </c>
      <c r="I29" s="19">
        <v>46179</v>
      </c>
      <c r="J29" s="22">
        <f t="shared" si="0"/>
        <v>224.68</v>
      </c>
      <c r="K29" s="22">
        <v>224.68</v>
      </c>
      <c r="L29" s="24">
        <f t="shared" si="1"/>
        <v>0</v>
      </c>
      <c r="M29" s="25"/>
      <c r="N29" s="26"/>
    </row>
    <row r="30" spans="2:14">
      <c r="B30" s="19">
        <v>46179</v>
      </c>
      <c r="C30" s="20" t="s">
        <v>15</v>
      </c>
      <c r="D30" s="21" t="s">
        <v>1593</v>
      </c>
      <c r="E30" s="22">
        <v>835.46</v>
      </c>
      <c r="F30" s="21" t="s">
        <v>17</v>
      </c>
      <c r="G30" s="28" t="s">
        <v>18</v>
      </c>
      <c r="H30" s="21" t="s">
        <v>1594</v>
      </c>
      <c r="I30" s="19">
        <v>46179</v>
      </c>
      <c r="J30" s="22">
        <f t="shared" si="0"/>
        <v>835.46</v>
      </c>
      <c r="K30" s="22">
        <v>835.46</v>
      </c>
      <c r="L30" s="24">
        <f t="shared" si="1"/>
        <v>0</v>
      </c>
      <c r="M30" s="25"/>
      <c r="N30" s="26"/>
    </row>
    <row r="31" spans="2:14">
      <c r="B31" s="19">
        <v>46179</v>
      </c>
      <c r="C31" s="20" t="s">
        <v>15</v>
      </c>
      <c r="D31" s="21" t="s">
        <v>1595</v>
      </c>
      <c r="E31" s="22">
        <v>491.93</v>
      </c>
      <c r="F31" s="21" t="s">
        <v>17</v>
      </c>
      <c r="G31" s="28" t="s">
        <v>21</v>
      </c>
      <c r="H31" s="21" t="s">
        <v>1596</v>
      </c>
      <c r="I31" s="19">
        <v>46179</v>
      </c>
      <c r="J31" s="22">
        <f t="shared" si="0"/>
        <v>491.93</v>
      </c>
      <c r="K31" s="22">
        <v>491.93</v>
      </c>
      <c r="L31" s="24">
        <f t="shared" si="1"/>
        <v>0</v>
      </c>
      <c r="M31" s="25"/>
      <c r="N31" s="26"/>
    </row>
    <row r="32" spans="2:14">
      <c r="B32" s="56">
        <v>46179</v>
      </c>
      <c r="C32" s="57" t="s">
        <v>15</v>
      </c>
      <c r="D32" s="58" t="s">
        <v>1597</v>
      </c>
      <c r="E32" s="62">
        <v>2734.54</v>
      </c>
      <c r="F32" s="58" t="s">
        <v>17</v>
      </c>
      <c r="G32" s="61" t="s">
        <v>21</v>
      </c>
      <c r="H32" s="58" t="s">
        <v>1598</v>
      </c>
      <c r="I32" s="56">
        <v>46179</v>
      </c>
      <c r="J32" s="62">
        <f t="shared" si="0"/>
        <v>2734.54</v>
      </c>
      <c r="K32" s="62">
        <v>2734.54</v>
      </c>
      <c r="L32" s="24">
        <f t="shared" si="1"/>
        <v>0</v>
      </c>
      <c r="M32" s="25"/>
      <c r="N32" s="70" t="s">
        <v>56</v>
      </c>
    </row>
    <row r="33" spans="2:14">
      <c r="B33" s="56"/>
      <c r="C33" s="57"/>
      <c r="D33" s="58"/>
      <c r="E33" s="62"/>
      <c r="F33" s="58" t="s">
        <v>758</v>
      </c>
      <c r="G33" s="60"/>
      <c r="H33" s="58"/>
      <c r="I33" s="56"/>
      <c r="J33" s="62">
        <f t="shared" si="0"/>
        <v>0</v>
      </c>
      <c r="K33" s="62"/>
      <c r="L33" s="24">
        <f t="shared" si="1"/>
        <v>0</v>
      </c>
      <c r="M33" s="25"/>
      <c r="N33" s="26"/>
    </row>
    <row r="34" spans="2:14">
      <c r="B34" s="56">
        <v>46179</v>
      </c>
      <c r="C34" s="57" t="s">
        <v>15</v>
      </c>
      <c r="D34" s="58" t="s">
        <v>1599</v>
      </c>
      <c r="E34" s="62">
        <v>604.03</v>
      </c>
      <c r="F34" s="58" t="s">
        <v>17</v>
      </c>
      <c r="G34" s="61" t="s">
        <v>21</v>
      </c>
      <c r="H34" s="58" t="s">
        <v>1600</v>
      </c>
      <c r="I34" s="56">
        <v>46179</v>
      </c>
      <c r="J34" s="62">
        <f t="shared" si="0"/>
        <v>604.03</v>
      </c>
      <c r="K34" s="62">
        <v>604.03</v>
      </c>
      <c r="L34" s="24">
        <f t="shared" si="1"/>
        <v>0</v>
      </c>
      <c r="M34" s="25"/>
      <c r="N34" s="70" t="s">
        <v>56</v>
      </c>
    </row>
    <row r="35" spans="2:14">
      <c r="B35" s="19">
        <v>46209</v>
      </c>
      <c r="C35" s="20" t="s">
        <v>15</v>
      </c>
      <c r="D35" s="21" t="s">
        <v>1601</v>
      </c>
      <c r="E35" s="22">
        <v>654.16</v>
      </c>
      <c r="F35" s="21" t="s">
        <v>29</v>
      </c>
      <c r="G35" s="28"/>
      <c r="H35" s="21" t="s">
        <v>1602</v>
      </c>
      <c r="I35" s="19">
        <v>46209</v>
      </c>
      <c r="J35" s="22">
        <f t="shared" si="0"/>
        <v>654.16</v>
      </c>
      <c r="K35" s="22">
        <v>654.16</v>
      </c>
      <c r="L35" s="24">
        <f t="shared" si="1"/>
        <v>0</v>
      </c>
      <c r="M35" s="25"/>
      <c r="N35" s="26"/>
    </row>
    <row r="36" spans="2:14">
      <c r="B36" s="19">
        <v>46209</v>
      </c>
      <c r="C36" s="20" t="s">
        <v>15</v>
      </c>
      <c r="D36" s="21" t="s">
        <v>1603</v>
      </c>
      <c r="E36" s="22">
        <v>817.7</v>
      </c>
      <c r="F36" s="21" t="s">
        <v>29</v>
      </c>
      <c r="G36" s="23"/>
      <c r="H36" s="21" t="s">
        <v>1602</v>
      </c>
      <c r="I36" s="19">
        <v>46209</v>
      </c>
      <c r="J36" s="22">
        <f t="shared" si="0"/>
        <v>817.7</v>
      </c>
      <c r="K36" s="22">
        <v>817.7</v>
      </c>
      <c r="L36" s="24">
        <f t="shared" si="1"/>
        <v>0</v>
      </c>
      <c r="M36" s="25"/>
      <c r="N36" s="26"/>
    </row>
    <row r="37" spans="2:14">
      <c r="B37" s="19">
        <v>46209</v>
      </c>
      <c r="C37" s="20" t="s">
        <v>15</v>
      </c>
      <c r="D37" s="21" t="s">
        <v>1604</v>
      </c>
      <c r="E37" s="22">
        <v>779.32</v>
      </c>
      <c r="F37" s="21" t="s">
        <v>29</v>
      </c>
      <c r="G37" s="21"/>
      <c r="H37" s="21" t="s">
        <v>1605</v>
      </c>
      <c r="I37" s="19">
        <v>46209</v>
      </c>
      <c r="J37" s="22">
        <f t="shared" si="0"/>
        <v>779.32</v>
      </c>
      <c r="K37" s="22">
        <v>779.32</v>
      </c>
      <c r="L37" s="24">
        <f t="shared" si="1"/>
        <v>0</v>
      </c>
      <c r="M37" s="25"/>
      <c r="N37" s="26"/>
    </row>
    <row r="38" spans="2:14">
      <c r="B38" s="77">
        <v>46209</v>
      </c>
      <c r="C38" s="78" t="s">
        <v>15</v>
      </c>
      <c r="D38" s="79" t="s">
        <v>1606</v>
      </c>
      <c r="E38" s="80">
        <v>105.05</v>
      </c>
      <c r="F38" s="79" t="s">
        <v>1607</v>
      </c>
      <c r="G38" s="79"/>
      <c r="H38" s="79"/>
      <c r="I38" s="77">
        <v>46209</v>
      </c>
      <c r="J38" s="80">
        <f t="shared" si="0"/>
        <v>105.05</v>
      </c>
      <c r="K38" s="80">
        <v>105.05</v>
      </c>
      <c r="L38" s="24">
        <f t="shared" si="1"/>
        <v>0</v>
      </c>
      <c r="M38" s="25" t="s">
        <v>1608</v>
      </c>
      <c r="N38" s="26"/>
    </row>
    <row r="39" spans="2:14">
      <c r="B39" s="19">
        <v>46209</v>
      </c>
      <c r="C39" s="20" t="s">
        <v>15</v>
      </c>
      <c r="D39" s="21" t="s">
        <v>1609</v>
      </c>
      <c r="E39" s="22">
        <v>237.06</v>
      </c>
      <c r="F39" s="21" t="s">
        <v>17</v>
      </c>
      <c r="G39" s="28" t="s">
        <v>21</v>
      </c>
      <c r="H39" s="21" t="s">
        <v>1610</v>
      </c>
      <c r="I39" s="19">
        <v>46209</v>
      </c>
      <c r="J39" s="22">
        <f t="shared" si="0"/>
        <v>237.06</v>
      </c>
      <c r="K39" s="22">
        <v>237.06</v>
      </c>
      <c r="L39" s="24">
        <f t="shared" ref="L39:L92" si="2">J39-K39</f>
        <v>0</v>
      </c>
      <c r="M39" s="25"/>
      <c r="N39" s="26"/>
    </row>
    <row r="40" spans="2:14">
      <c r="B40" s="56">
        <v>46209</v>
      </c>
      <c r="C40" s="57" t="s">
        <v>15</v>
      </c>
      <c r="D40" s="58" t="s">
        <v>1611</v>
      </c>
      <c r="E40" s="62">
        <v>256</v>
      </c>
      <c r="F40" s="58" t="s">
        <v>1607</v>
      </c>
      <c r="G40" s="61"/>
      <c r="H40" s="58"/>
      <c r="I40" s="56">
        <v>46209</v>
      </c>
      <c r="J40" s="62">
        <f t="shared" si="0"/>
        <v>256</v>
      </c>
      <c r="K40" s="62">
        <v>256</v>
      </c>
      <c r="L40" s="24">
        <f t="shared" si="2"/>
        <v>0</v>
      </c>
      <c r="M40" s="25"/>
      <c r="N40" s="26"/>
    </row>
    <row r="41" spans="2:14">
      <c r="B41" s="19">
        <v>46239</v>
      </c>
      <c r="C41" s="78" t="s">
        <v>15</v>
      </c>
      <c r="D41" s="21" t="s">
        <v>1612</v>
      </c>
      <c r="E41" s="22">
        <v>370</v>
      </c>
      <c r="F41" s="21" t="s">
        <v>17</v>
      </c>
      <c r="G41" s="28" t="s">
        <v>37</v>
      </c>
      <c r="H41" s="21" t="s">
        <v>1613</v>
      </c>
      <c r="I41" s="19">
        <v>46239</v>
      </c>
      <c r="J41" s="22">
        <f t="shared" si="0"/>
        <v>370</v>
      </c>
      <c r="K41" s="22">
        <v>370</v>
      </c>
      <c r="L41" s="24">
        <f t="shared" si="2"/>
        <v>0</v>
      </c>
      <c r="M41" s="25"/>
      <c r="N41" s="26"/>
    </row>
    <row r="42" spans="2:14">
      <c r="B42" s="19">
        <v>46239</v>
      </c>
      <c r="C42" s="78" t="s">
        <v>15</v>
      </c>
      <c r="D42" s="21" t="s">
        <v>1614</v>
      </c>
      <c r="E42" s="22">
        <v>183.51</v>
      </c>
      <c r="F42" s="21" t="s">
        <v>17</v>
      </c>
      <c r="G42" s="21" t="s">
        <v>21</v>
      </c>
      <c r="H42" s="21" t="s">
        <v>1615</v>
      </c>
      <c r="I42" s="19">
        <v>46239</v>
      </c>
      <c r="J42" s="22">
        <f t="shared" si="0"/>
        <v>183.51</v>
      </c>
      <c r="K42" s="22">
        <v>183.51</v>
      </c>
      <c r="L42" s="24">
        <f t="shared" si="2"/>
        <v>0</v>
      </c>
      <c r="M42" s="25"/>
      <c r="N42" s="26"/>
    </row>
    <row r="43" spans="2:14">
      <c r="B43" s="19">
        <v>46239</v>
      </c>
      <c r="C43" s="78" t="s">
        <v>15</v>
      </c>
      <c r="D43" s="21" t="s">
        <v>1616</v>
      </c>
      <c r="E43" s="22">
        <v>75.82</v>
      </c>
      <c r="F43" s="21" t="s">
        <v>17</v>
      </c>
      <c r="G43" s="21" t="s">
        <v>21</v>
      </c>
      <c r="H43" s="21" t="s">
        <v>1617</v>
      </c>
      <c r="I43" s="19">
        <v>46239</v>
      </c>
      <c r="J43" s="22">
        <f t="shared" si="0"/>
        <v>75.82</v>
      </c>
      <c r="K43" s="22">
        <v>75.82</v>
      </c>
      <c r="L43" s="24">
        <f t="shared" si="2"/>
        <v>0</v>
      </c>
      <c r="M43" s="25"/>
      <c r="N43" s="26"/>
    </row>
    <row r="44" spans="2:14">
      <c r="B44" s="19">
        <v>46239</v>
      </c>
      <c r="C44" s="78" t="s">
        <v>15</v>
      </c>
      <c r="D44" s="21" t="s">
        <v>1618</v>
      </c>
      <c r="E44" s="22">
        <v>647.47</v>
      </c>
      <c r="F44" s="21" t="s">
        <v>29</v>
      </c>
      <c r="G44" s="28"/>
      <c r="H44" s="21" t="s">
        <v>1619</v>
      </c>
      <c r="I44" s="19">
        <v>46239</v>
      </c>
      <c r="J44" s="22">
        <f t="shared" si="0"/>
        <v>647.47</v>
      </c>
      <c r="K44" s="22">
        <v>647.47</v>
      </c>
      <c r="L44" s="24">
        <f t="shared" si="2"/>
        <v>0</v>
      </c>
      <c r="M44" s="25"/>
      <c r="N44" s="26"/>
    </row>
    <row r="45" spans="2:14">
      <c r="B45" s="19">
        <v>46239</v>
      </c>
      <c r="C45" s="78" t="s">
        <v>15</v>
      </c>
      <c r="D45" s="21" t="s">
        <v>1620</v>
      </c>
      <c r="E45" s="22">
        <v>61.91</v>
      </c>
      <c r="F45" s="21" t="s">
        <v>17</v>
      </c>
      <c r="G45" s="28" t="s">
        <v>37</v>
      </c>
      <c r="H45" s="21" t="s">
        <v>1621</v>
      </c>
      <c r="I45" s="19">
        <v>46239</v>
      </c>
      <c r="J45" s="22">
        <f t="shared" si="0"/>
        <v>61.91</v>
      </c>
      <c r="K45" s="22">
        <v>61.91</v>
      </c>
      <c r="L45" s="24">
        <f t="shared" si="2"/>
        <v>0</v>
      </c>
      <c r="M45" s="25"/>
      <c r="N45" s="26"/>
    </row>
    <row r="46" spans="2:14">
      <c r="B46" s="19">
        <v>46239</v>
      </c>
      <c r="C46" s="78" t="s">
        <v>15</v>
      </c>
      <c r="D46" s="21" t="s">
        <v>1622</v>
      </c>
      <c r="E46" s="22">
        <v>113.32</v>
      </c>
      <c r="F46" s="21" t="s">
        <v>17</v>
      </c>
      <c r="G46" s="28" t="s">
        <v>1623</v>
      </c>
      <c r="H46" s="21" t="s">
        <v>1624</v>
      </c>
      <c r="I46" s="19">
        <v>46239</v>
      </c>
      <c r="J46" s="22">
        <f t="shared" si="0"/>
        <v>113.32</v>
      </c>
      <c r="K46" s="22">
        <v>113.32</v>
      </c>
      <c r="L46" s="24">
        <f t="shared" si="2"/>
        <v>0</v>
      </c>
      <c r="M46" s="25"/>
      <c r="N46" s="26"/>
    </row>
    <row r="47" spans="2:14">
      <c r="B47" s="19">
        <v>46239</v>
      </c>
      <c r="C47" s="78" t="s">
        <v>15</v>
      </c>
      <c r="D47" s="21" t="s">
        <v>1625</v>
      </c>
      <c r="E47" s="22">
        <v>468.15</v>
      </c>
      <c r="F47" s="21" t="s">
        <v>17</v>
      </c>
      <c r="G47" s="28" t="s">
        <v>37</v>
      </c>
      <c r="H47" s="21" t="s">
        <v>1626</v>
      </c>
      <c r="I47" s="19">
        <v>46239</v>
      </c>
      <c r="J47" s="22">
        <f t="shared" si="0"/>
        <v>468.15</v>
      </c>
      <c r="K47" s="22">
        <v>468.15</v>
      </c>
      <c r="L47" s="24">
        <f t="shared" si="2"/>
        <v>0</v>
      </c>
      <c r="M47" s="25"/>
      <c r="N47" s="26"/>
    </row>
    <row r="48" spans="2:14">
      <c r="B48" s="72">
        <v>46270</v>
      </c>
      <c r="C48" s="73" t="s">
        <v>15</v>
      </c>
      <c r="D48" s="74" t="s">
        <v>1627</v>
      </c>
      <c r="E48" s="75">
        <v>52.67</v>
      </c>
      <c r="F48" s="74" t="s">
        <v>29</v>
      </c>
      <c r="G48" s="74"/>
      <c r="H48" s="74" t="s">
        <v>1628</v>
      </c>
      <c r="I48" s="72">
        <v>46270</v>
      </c>
      <c r="J48" s="75">
        <f t="shared" si="0"/>
        <v>52.67</v>
      </c>
      <c r="K48" s="75">
        <v>52.67</v>
      </c>
      <c r="L48" s="24">
        <f t="shared" si="2"/>
        <v>0</v>
      </c>
      <c r="M48" s="25"/>
      <c r="N48" s="70" t="s">
        <v>23</v>
      </c>
    </row>
    <row r="49" spans="2:14">
      <c r="B49" s="19">
        <v>46270</v>
      </c>
      <c r="C49" s="78" t="s">
        <v>15</v>
      </c>
      <c r="D49" s="21" t="s">
        <v>1629</v>
      </c>
      <c r="E49" s="22">
        <v>221.09</v>
      </c>
      <c r="F49" s="21" t="s">
        <v>29</v>
      </c>
      <c r="G49" s="21"/>
      <c r="H49" s="21" t="s">
        <v>1630</v>
      </c>
      <c r="I49" s="19">
        <v>46270</v>
      </c>
      <c r="J49" s="22">
        <f t="shared" si="0"/>
        <v>221.09</v>
      </c>
      <c r="K49" s="22">
        <v>221.09</v>
      </c>
      <c r="L49" s="24">
        <f t="shared" si="2"/>
        <v>0</v>
      </c>
      <c r="M49" s="25"/>
      <c r="N49" s="26"/>
    </row>
    <row r="50" spans="2:14">
      <c r="B50" s="19">
        <v>46270</v>
      </c>
      <c r="C50" s="78" t="s">
        <v>15</v>
      </c>
      <c r="D50" s="21" t="s">
        <v>1631</v>
      </c>
      <c r="E50" s="22">
        <v>565.6</v>
      </c>
      <c r="F50" s="21" t="s">
        <v>17</v>
      </c>
      <c r="G50" s="21" t="s">
        <v>21</v>
      </c>
      <c r="H50" s="21" t="s">
        <v>1632</v>
      </c>
      <c r="I50" s="19">
        <v>46270</v>
      </c>
      <c r="J50" s="22">
        <f t="shared" si="0"/>
        <v>565.6</v>
      </c>
      <c r="K50" s="22">
        <v>565.6</v>
      </c>
      <c r="L50" s="24">
        <f t="shared" si="2"/>
        <v>0</v>
      </c>
      <c r="M50" s="25"/>
      <c r="N50" s="26"/>
    </row>
    <row r="51" spans="2:14">
      <c r="B51" s="19">
        <v>46270</v>
      </c>
      <c r="C51" s="20" t="s">
        <v>64</v>
      </c>
      <c r="D51" s="21" t="s">
        <v>1633</v>
      </c>
      <c r="E51" s="22">
        <v>438</v>
      </c>
      <c r="F51" s="21" t="s">
        <v>17</v>
      </c>
      <c r="G51" s="23" t="s">
        <v>21</v>
      </c>
      <c r="H51" s="21" t="s">
        <v>1634</v>
      </c>
      <c r="I51" s="19">
        <v>46270</v>
      </c>
      <c r="J51" s="22">
        <f t="shared" si="0"/>
        <v>438</v>
      </c>
      <c r="K51" s="22">
        <v>438</v>
      </c>
      <c r="L51" s="24">
        <f t="shared" si="2"/>
        <v>0</v>
      </c>
      <c r="M51" s="25"/>
      <c r="N51" s="26"/>
    </row>
    <row r="52" spans="2:14">
      <c r="B52" s="19">
        <v>46331</v>
      </c>
      <c r="C52" s="78" t="s">
        <v>15</v>
      </c>
      <c r="D52" s="21" t="s">
        <v>1635</v>
      </c>
      <c r="E52" s="22">
        <v>103.79</v>
      </c>
      <c r="F52" s="30" t="s">
        <v>17</v>
      </c>
      <c r="G52" s="23" t="s">
        <v>21</v>
      </c>
      <c r="H52" s="21" t="s">
        <v>1636</v>
      </c>
      <c r="I52" s="19">
        <v>46331</v>
      </c>
      <c r="J52" s="22">
        <f t="shared" si="0"/>
        <v>103.79</v>
      </c>
      <c r="K52" s="22">
        <v>103.79</v>
      </c>
      <c r="L52" s="24">
        <f t="shared" si="2"/>
        <v>0</v>
      </c>
      <c r="M52" s="25"/>
      <c r="N52" s="26"/>
    </row>
    <row r="53" spans="2:14">
      <c r="B53" s="19">
        <v>46331</v>
      </c>
      <c r="C53" s="78" t="s">
        <v>15</v>
      </c>
      <c r="D53" s="21" t="s">
        <v>1637</v>
      </c>
      <c r="E53" s="22">
        <v>596.75</v>
      </c>
      <c r="F53" s="21" t="s">
        <v>17</v>
      </c>
      <c r="G53" s="23" t="s">
        <v>18</v>
      </c>
      <c r="H53" s="21" t="s">
        <v>1638</v>
      </c>
      <c r="I53" s="19">
        <v>46331</v>
      </c>
      <c r="J53" s="22">
        <f t="shared" si="0"/>
        <v>596.75</v>
      </c>
      <c r="K53" s="22">
        <v>596.75</v>
      </c>
      <c r="L53" s="24">
        <f t="shared" si="2"/>
        <v>0</v>
      </c>
      <c r="M53" s="25"/>
      <c r="N53" s="26"/>
    </row>
    <row r="54" spans="2:14">
      <c r="B54" s="19">
        <v>46331</v>
      </c>
      <c r="C54" s="78" t="s">
        <v>15</v>
      </c>
      <c r="D54" s="21" t="s">
        <v>1639</v>
      </c>
      <c r="E54" s="22">
        <v>410.38</v>
      </c>
      <c r="F54" s="21" t="s">
        <v>17</v>
      </c>
      <c r="G54" s="23" t="s">
        <v>21</v>
      </c>
      <c r="H54" s="21" t="s">
        <v>1640</v>
      </c>
      <c r="I54" s="19">
        <v>46331</v>
      </c>
      <c r="J54" s="22">
        <f t="shared" si="0"/>
        <v>410.38</v>
      </c>
      <c r="K54" s="22">
        <v>410.38</v>
      </c>
      <c r="L54" s="24">
        <f t="shared" si="2"/>
        <v>0</v>
      </c>
      <c r="M54" s="25"/>
      <c r="N54" s="26"/>
    </row>
    <row r="55" spans="2:14">
      <c r="B55" s="19">
        <v>46331</v>
      </c>
      <c r="C55" s="78" t="s">
        <v>15</v>
      </c>
      <c r="D55" s="21" t="s">
        <v>1641</v>
      </c>
      <c r="E55" s="22">
        <v>75.19</v>
      </c>
      <c r="F55" s="21" t="s">
        <v>29</v>
      </c>
      <c r="G55" s="21"/>
      <c r="H55" s="21" t="s">
        <v>1642</v>
      </c>
      <c r="I55" s="19">
        <v>46331</v>
      </c>
      <c r="J55" s="22">
        <f t="shared" si="0"/>
        <v>75.19</v>
      </c>
      <c r="K55" s="22">
        <v>75.19</v>
      </c>
      <c r="L55" s="24">
        <f t="shared" si="2"/>
        <v>0</v>
      </c>
      <c r="M55" s="25"/>
      <c r="N55" s="26"/>
    </row>
    <row r="56" spans="2:14">
      <c r="B56" s="19">
        <v>46331</v>
      </c>
      <c r="C56" s="78" t="s">
        <v>15</v>
      </c>
      <c r="D56" s="21" t="s">
        <v>1643</v>
      </c>
      <c r="E56" s="22">
        <v>538.9</v>
      </c>
      <c r="F56" s="21" t="s">
        <v>29</v>
      </c>
      <c r="G56" s="21"/>
      <c r="H56" s="21" t="s">
        <v>1644</v>
      </c>
      <c r="I56" s="19">
        <v>46331</v>
      </c>
      <c r="J56" s="22">
        <f t="shared" si="0"/>
        <v>538.9</v>
      </c>
      <c r="K56" s="22">
        <v>538.9</v>
      </c>
      <c r="L56" s="24">
        <f t="shared" si="2"/>
        <v>0</v>
      </c>
      <c r="M56" s="25"/>
      <c r="N56" s="26"/>
    </row>
    <row r="57" spans="2:14">
      <c r="B57" s="19">
        <v>46361</v>
      </c>
      <c r="C57" s="78" t="s">
        <v>15</v>
      </c>
      <c r="D57" s="21" t="s">
        <v>1645</v>
      </c>
      <c r="E57" s="22">
        <v>232.03</v>
      </c>
      <c r="F57" s="21" t="s">
        <v>17</v>
      </c>
      <c r="G57" s="23" t="s">
        <v>21</v>
      </c>
      <c r="H57" s="21" t="s">
        <v>1646</v>
      </c>
      <c r="I57" s="19">
        <v>46361</v>
      </c>
      <c r="J57" s="22">
        <f t="shared" si="0"/>
        <v>232.03</v>
      </c>
      <c r="K57" s="22">
        <v>232.03</v>
      </c>
      <c r="L57" s="24">
        <f t="shared" si="2"/>
        <v>0</v>
      </c>
      <c r="M57" s="25"/>
      <c r="N57" s="26"/>
    </row>
    <row r="58" spans="2:14">
      <c r="B58" s="19">
        <v>46361</v>
      </c>
      <c r="C58" s="78" t="s">
        <v>15</v>
      </c>
      <c r="D58" s="21" t="s">
        <v>1647</v>
      </c>
      <c r="E58" s="22">
        <v>101.49</v>
      </c>
      <c r="F58" s="21" t="s">
        <v>29</v>
      </c>
      <c r="G58" s="28"/>
      <c r="H58" s="21" t="s">
        <v>1619</v>
      </c>
      <c r="I58" s="19">
        <v>46361</v>
      </c>
      <c r="J58" s="22">
        <f t="shared" si="0"/>
        <v>101.49</v>
      </c>
      <c r="K58" s="22">
        <v>39.46</v>
      </c>
      <c r="L58" s="24">
        <f t="shared" si="2"/>
        <v>62.03</v>
      </c>
      <c r="M58" s="25"/>
      <c r="N58" s="26"/>
    </row>
    <row r="59" spans="2:14">
      <c r="B59" s="19"/>
      <c r="C59" s="78"/>
      <c r="D59" s="21"/>
      <c r="E59" s="22"/>
      <c r="F59" s="21" t="s">
        <v>29</v>
      </c>
      <c r="G59" s="28"/>
      <c r="H59" s="21" t="s">
        <v>1648</v>
      </c>
      <c r="I59" s="19"/>
      <c r="J59" s="22"/>
      <c r="K59" s="22">
        <v>62.03</v>
      </c>
      <c r="L59" s="24">
        <f t="shared" si="2"/>
        <v>-62.03</v>
      </c>
      <c r="M59" s="25"/>
      <c r="N59" s="26"/>
    </row>
    <row r="60" spans="2:14">
      <c r="B60" s="19">
        <v>46361</v>
      </c>
      <c r="C60" s="78" t="s">
        <v>15</v>
      </c>
      <c r="D60" s="21" t="s">
        <v>1649</v>
      </c>
      <c r="E60" s="22">
        <v>220.78</v>
      </c>
      <c r="F60" s="21" t="s">
        <v>29</v>
      </c>
      <c r="G60" s="21"/>
      <c r="H60" s="21" t="s">
        <v>1650</v>
      </c>
      <c r="I60" s="19">
        <v>46361</v>
      </c>
      <c r="J60" s="22">
        <f>E60</f>
        <v>220.78</v>
      </c>
      <c r="K60" s="22">
        <v>220.78</v>
      </c>
      <c r="L60" s="24">
        <f t="shared" si="2"/>
        <v>0</v>
      </c>
      <c r="M60" s="25"/>
      <c r="N60" s="26"/>
    </row>
    <row r="61" spans="2:14">
      <c r="B61" s="19">
        <v>46361</v>
      </c>
      <c r="C61" s="78" t="s">
        <v>15</v>
      </c>
      <c r="D61" s="21" t="s">
        <v>1651</v>
      </c>
      <c r="E61" s="22">
        <v>376.22</v>
      </c>
      <c r="F61" s="21" t="s">
        <v>17</v>
      </c>
      <c r="G61" s="23" t="s">
        <v>21</v>
      </c>
      <c r="H61" s="21" t="s">
        <v>1652</v>
      </c>
      <c r="I61" s="19">
        <v>46361</v>
      </c>
      <c r="J61" s="22">
        <f>E61</f>
        <v>376.22</v>
      </c>
      <c r="K61" s="22">
        <v>375.33</v>
      </c>
      <c r="L61" s="24">
        <f t="shared" si="2"/>
        <v>0.890000000000043</v>
      </c>
      <c r="M61" s="25"/>
      <c r="N61" s="26"/>
    </row>
    <row r="62" spans="2:14">
      <c r="B62" s="19"/>
      <c r="C62" s="78"/>
      <c r="D62" s="21"/>
      <c r="E62" s="22"/>
      <c r="F62" s="21" t="s">
        <v>17</v>
      </c>
      <c r="G62" s="23" t="s">
        <v>21</v>
      </c>
      <c r="H62" s="21" t="s">
        <v>1653</v>
      </c>
      <c r="I62" s="19"/>
      <c r="J62" s="22"/>
      <c r="K62" s="22">
        <v>1</v>
      </c>
      <c r="L62" s="24">
        <f t="shared" si="2"/>
        <v>-1</v>
      </c>
      <c r="M62" s="25"/>
      <c r="N62" s="26"/>
    </row>
    <row r="63" spans="2:14">
      <c r="B63" s="19">
        <v>46361</v>
      </c>
      <c r="C63" s="78" t="s">
        <v>15</v>
      </c>
      <c r="D63" s="21" t="s">
        <v>1654</v>
      </c>
      <c r="E63" s="22">
        <v>458.3</v>
      </c>
      <c r="F63" s="21" t="s">
        <v>29</v>
      </c>
      <c r="G63" s="23"/>
      <c r="H63" s="21" t="s">
        <v>1655</v>
      </c>
      <c r="I63" s="19">
        <v>46361</v>
      </c>
      <c r="J63" s="22">
        <f t="shared" ref="J63:J76" si="3">E63</f>
        <v>458.3</v>
      </c>
      <c r="K63" s="22">
        <v>458.3</v>
      </c>
      <c r="L63" s="24">
        <f t="shared" si="2"/>
        <v>0</v>
      </c>
      <c r="M63" s="25"/>
      <c r="N63" s="26"/>
    </row>
    <row r="64" spans="2:14">
      <c r="B64" s="19">
        <v>46361</v>
      </c>
      <c r="C64" s="78" t="s">
        <v>15</v>
      </c>
      <c r="D64" s="21" t="s">
        <v>1656</v>
      </c>
      <c r="E64" s="22">
        <v>133.19</v>
      </c>
      <c r="F64" s="21" t="s">
        <v>17</v>
      </c>
      <c r="G64" s="23" t="s">
        <v>21</v>
      </c>
      <c r="H64" s="21" t="s">
        <v>1657</v>
      </c>
      <c r="I64" s="19">
        <v>46361</v>
      </c>
      <c r="J64" s="22">
        <f t="shared" si="3"/>
        <v>133.19</v>
      </c>
      <c r="K64" s="22">
        <v>133.19</v>
      </c>
      <c r="L64" s="24">
        <f t="shared" si="2"/>
        <v>0</v>
      </c>
      <c r="M64" s="25"/>
      <c r="N64" s="26"/>
    </row>
    <row r="65" spans="2:14">
      <c r="B65" s="19">
        <v>46361</v>
      </c>
      <c r="C65" s="20" t="s">
        <v>64</v>
      </c>
      <c r="D65" s="21" t="s">
        <v>1658</v>
      </c>
      <c r="E65" s="22">
        <v>143.17</v>
      </c>
      <c r="F65" s="21" t="s">
        <v>29</v>
      </c>
      <c r="G65" s="21"/>
      <c r="H65" s="21" t="s">
        <v>1659</v>
      </c>
      <c r="I65" s="19">
        <v>46361</v>
      </c>
      <c r="J65" s="22">
        <f t="shared" si="3"/>
        <v>143.17</v>
      </c>
      <c r="K65" s="22">
        <v>143.17</v>
      </c>
      <c r="L65" s="24">
        <f t="shared" si="2"/>
        <v>0</v>
      </c>
      <c r="M65" s="25"/>
      <c r="N65" s="24"/>
    </row>
    <row r="66" spans="2:14">
      <c r="B66" s="19">
        <v>46361</v>
      </c>
      <c r="C66" s="78" t="s">
        <v>15</v>
      </c>
      <c r="D66" s="21" t="s">
        <v>1660</v>
      </c>
      <c r="E66" s="22">
        <v>8976.06</v>
      </c>
      <c r="F66" s="21" t="s">
        <v>17</v>
      </c>
      <c r="G66" s="23" t="s">
        <v>21</v>
      </c>
      <c r="H66" s="21" t="s">
        <v>1661</v>
      </c>
      <c r="I66" s="19">
        <v>46361</v>
      </c>
      <c r="J66" s="22">
        <f t="shared" si="3"/>
        <v>8976.06</v>
      </c>
      <c r="K66" s="22">
        <v>8976.06</v>
      </c>
      <c r="L66" s="24">
        <f t="shared" si="2"/>
        <v>0</v>
      </c>
      <c r="M66" s="25"/>
      <c r="N66" s="26"/>
    </row>
    <row r="67" spans="2:14">
      <c r="B67" s="19" t="s">
        <v>1662</v>
      </c>
      <c r="C67" s="78" t="s">
        <v>15</v>
      </c>
      <c r="D67" s="21" t="s">
        <v>1663</v>
      </c>
      <c r="E67" s="22">
        <v>752.44</v>
      </c>
      <c r="F67" s="21" t="s">
        <v>17</v>
      </c>
      <c r="G67" s="23" t="s">
        <v>37</v>
      </c>
      <c r="H67" s="21" t="s">
        <v>1664</v>
      </c>
      <c r="I67" s="19" t="s">
        <v>1662</v>
      </c>
      <c r="J67" s="22">
        <f t="shared" si="3"/>
        <v>752.44</v>
      </c>
      <c r="K67" s="22">
        <v>752.44</v>
      </c>
      <c r="L67" s="24">
        <f t="shared" si="2"/>
        <v>0</v>
      </c>
      <c r="M67" s="25"/>
      <c r="N67" s="26"/>
    </row>
    <row r="68" spans="2:14">
      <c r="B68" s="72" t="s">
        <v>1662</v>
      </c>
      <c r="C68" s="73" t="s">
        <v>15</v>
      </c>
      <c r="D68" s="74" t="s">
        <v>1665</v>
      </c>
      <c r="E68" s="75">
        <v>592.18</v>
      </c>
      <c r="F68" s="74" t="s">
        <v>17</v>
      </c>
      <c r="G68" s="81" t="s">
        <v>21</v>
      </c>
      <c r="H68" s="74" t="s">
        <v>1666</v>
      </c>
      <c r="I68" s="72" t="s">
        <v>1662</v>
      </c>
      <c r="J68" s="75">
        <f t="shared" si="3"/>
        <v>592.18</v>
      </c>
      <c r="K68" s="75">
        <v>592.18</v>
      </c>
      <c r="L68" s="24">
        <f t="shared" si="2"/>
        <v>0</v>
      </c>
      <c r="M68" s="25"/>
      <c r="N68" s="26" t="s">
        <v>33</v>
      </c>
    </row>
    <row r="69" spans="2:14">
      <c r="B69" s="19" t="s">
        <v>1662</v>
      </c>
      <c r="C69" s="78" t="s">
        <v>15</v>
      </c>
      <c r="D69" s="21" t="s">
        <v>1667</v>
      </c>
      <c r="E69" s="22">
        <v>78.03</v>
      </c>
      <c r="F69" s="21" t="s">
        <v>17</v>
      </c>
      <c r="G69" s="23" t="s">
        <v>21</v>
      </c>
      <c r="H69" s="21" t="s">
        <v>1668</v>
      </c>
      <c r="I69" s="19" t="s">
        <v>1662</v>
      </c>
      <c r="J69" s="22">
        <f t="shared" si="3"/>
        <v>78.03</v>
      </c>
      <c r="K69" s="22">
        <v>78.03</v>
      </c>
      <c r="L69" s="24">
        <f t="shared" si="2"/>
        <v>0</v>
      </c>
      <c r="M69" s="25"/>
      <c r="N69" s="26"/>
    </row>
    <row r="70" spans="2:14">
      <c r="B70" s="19" t="s">
        <v>1662</v>
      </c>
      <c r="C70" s="78" t="s">
        <v>15</v>
      </c>
      <c r="D70" s="21" t="s">
        <v>1669</v>
      </c>
      <c r="E70" s="22">
        <v>159.52</v>
      </c>
      <c r="F70" s="21" t="s">
        <v>17</v>
      </c>
      <c r="G70" s="23" t="s">
        <v>21</v>
      </c>
      <c r="H70" s="21" t="s">
        <v>1670</v>
      </c>
      <c r="I70" s="19" t="s">
        <v>1662</v>
      </c>
      <c r="J70" s="22">
        <f t="shared" si="3"/>
        <v>159.52</v>
      </c>
      <c r="K70" s="22">
        <v>159.52</v>
      </c>
      <c r="L70" s="24">
        <f t="shared" si="2"/>
        <v>0</v>
      </c>
      <c r="M70" s="25"/>
      <c r="N70" s="26"/>
    </row>
    <row r="71" spans="2:14">
      <c r="B71" s="19" t="s">
        <v>1662</v>
      </c>
      <c r="C71" s="78" t="s">
        <v>15</v>
      </c>
      <c r="D71" s="21" t="s">
        <v>1671</v>
      </c>
      <c r="E71" s="22">
        <v>451.56</v>
      </c>
      <c r="F71" s="21" t="s">
        <v>17</v>
      </c>
      <c r="G71" s="23" t="s">
        <v>21</v>
      </c>
      <c r="H71" s="21" t="s">
        <v>1672</v>
      </c>
      <c r="I71" s="19" t="s">
        <v>1662</v>
      </c>
      <c r="J71" s="22">
        <f t="shared" si="3"/>
        <v>451.56</v>
      </c>
      <c r="K71" s="22">
        <v>451.56</v>
      </c>
      <c r="L71" s="24">
        <f t="shared" si="2"/>
        <v>0</v>
      </c>
      <c r="M71" s="25"/>
      <c r="N71" s="26"/>
    </row>
    <row r="72" spans="2:14">
      <c r="B72" s="19" t="s">
        <v>1662</v>
      </c>
      <c r="C72" s="78" t="s">
        <v>15</v>
      </c>
      <c r="D72" s="21" t="s">
        <v>1673</v>
      </c>
      <c r="E72" s="22">
        <v>199.87</v>
      </c>
      <c r="F72" s="21" t="s">
        <v>29</v>
      </c>
      <c r="G72" s="21"/>
      <c r="H72" s="21" t="s">
        <v>1674</v>
      </c>
      <c r="I72" s="19" t="s">
        <v>1662</v>
      </c>
      <c r="J72" s="22">
        <f t="shared" si="3"/>
        <v>199.87</v>
      </c>
      <c r="K72" s="22">
        <v>199.87</v>
      </c>
      <c r="L72" s="24">
        <f t="shared" si="2"/>
        <v>0</v>
      </c>
      <c r="M72" s="25"/>
      <c r="N72" s="31"/>
    </row>
    <row r="73" spans="2:14">
      <c r="B73" s="19" t="s">
        <v>1662</v>
      </c>
      <c r="C73" s="78" t="s">
        <v>15</v>
      </c>
      <c r="D73" s="21" t="s">
        <v>1675</v>
      </c>
      <c r="E73" s="22">
        <v>376.95</v>
      </c>
      <c r="F73" s="21" t="s">
        <v>17</v>
      </c>
      <c r="G73" s="23" t="s">
        <v>21</v>
      </c>
      <c r="H73" s="21" t="s">
        <v>1676</v>
      </c>
      <c r="I73" s="19" t="s">
        <v>1662</v>
      </c>
      <c r="J73" s="22">
        <f t="shared" si="3"/>
        <v>376.95</v>
      </c>
      <c r="K73" s="22">
        <v>376.95</v>
      </c>
      <c r="L73" s="24">
        <f t="shared" si="2"/>
        <v>0</v>
      </c>
      <c r="M73" s="25"/>
      <c r="N73" s="26"/>
    </row>
    <row r="74" spans="2:14">
      <c r="B74" s="19" t="s">
        <v>1662</v>
      </c>
      <c r="C74" s="78" t="s">
        <v>15</v>
      </c>
      <c r="D74" s="21" t="s">
        <v>1677</v>
      </c>
      <c r="E74" s="22">
        <v>185.34</v>
      </c>
      <c r="F74" s="21" t="s">
        <v>17</v>
      </c>
      <c r="G74" s="23" t="s">
        <v>21</v>
      </c>
      <c r="H74" s="21" t="s">
        <v>1678</v>
      </c>
      <c r="I74" s="19" t="s">
        <v>1662</v>
      </c>
      <c r="J74" s="22">
        <f t="shared" si="3"/>
        <v>185.34</v>
      </c>
      <c r="K74" s="22">
        <v>185.34</v>
      </c>
      <c r="L74" s="24">
        <f t="shared" si="2"/>
        <v>0</v>
      </c>
      <c r="M74" s="25"/>
      <c r="N74" s="26"/>
    </row>
    <row r="75" spans="2:14">
      <c r="B75" s="72" t="s">
        <v>1662</v>
      </c>
      <c r="C75" s="73" t="s">
        <v>15</v>
      </c>
      <c r="D75" s="74" t="s">
        <v>1679</v>
      </c>
      <c r="E75" s="75">
        <v>126.52</v>
      </c>
      <c r="F75" s="74" t="s">
        <v>29</v>
      </c>
      <c r="G75" s="74"/>
      <c r="H75" s="74" t="s">
        <v>1680</v>
      </c>
      <c r="I75" s="72" t="s">
        <v>1662</v>
      </c>
      <c r="J75" s="75">
        <f t="shared" si="3"/>
        <v>126.52</v>
      </c>
      <c r="K75" s="75">
        <v>126.52</v>
      </c>
      <c r="L75" s="24">
        <f t="shared" si="2"/>
        <v>0</v>
      </c>
      <c r="M75" s="25"/>
      <c r="N75" s="26" t="s">
        <v>23</v>
      </c>
    </row>
    <row r="76" spans="2:14">
      <c r="B76" s="72" t="s">
        <v>1662</v>
      </c>
      <c r="C76" s="73" t="s">
        <v>15</v>
      </c>
      <c r="D76" s="74" t="s">
        <v>1681</v>
      </c>
      <c r="E76" s="75">
        <v>203.9</v>
      </c>
      <c r="F76" s="74" t="s">
        <v>17</v>
      </c>
      <c r="G76" s="74" t="s">
        <v>37</v>
      </c>
      <c r="H76" s="74" t="s">
        <v>1682</v>
      </c>
      <c r="I76" s="72" t="s">
        <v>1662</v>
      </c>
      <c r="J76" s="75">
        <f t="shared" si="3"/>
        <v>203.9</v>
      </c>
      <c r="K76" s="75">
        <v>203.9</v>
      </c>
      <c r="L76" s="24">
        <f t="shared" si="2"/>
        <v>0</v>
      </c>
      <c r="M76" s="25"/>
      <c r="N76" s="26" t="s">
        <v>33</v>
      </c>
    </row>
    <row r="77" spans="2:14">
      <c r="B77" s="56" t="s">
        <v>1662</v>
      </c>
      <c r="C77" s="57" t="s">
        <v>15</v>
      </c>
      <c r="D77" s="58" t="s">
        <v>1683</v>
      </c>
      <c r="E77" s="62">
        <v>514.84</v>
      </c>
      <c r="F77" s="58" t="s">
        <v>17</v>
      </c>
      <c r="G77" s="58" t="s">
        <v>21</v>
      </c>
      <c r="H77" s="58" t="s">
        <v>1684</v>
      </c>
      <c r="I77" s="56" t="s">
        <v>1662</v>
      </c>
      <c r="J77" s="62">
        <f t="shared" ref="J77:J93" si="4">E77</f>
        <v>514.84</v>
      </c>
      <c r="K77" s="62">
        <v>514.84</v>
      </c>
      <c r="L77" s="24">
        <f t="shared" si="2"/>
        <v>0</v>
      </c>
      <c r="M77" s="25"/>
      <c r="N77" s="26" t="s">
        <v>56</v>
      </c>
    </row>
    <row r="78" spans="2:14">
      <c r="B78" s="56" t="s">
        <v>1662</v>
      </c>
      <c r="C78" s="57" t="s">
        <v>15</v>
      </c>
      <c r="D78" s="58" t="s">
        <v>1685</v>
      </c>
      <c r="E78" s="62">
        <v>2037.93</v>
      </c>
      <c r="F78" s="58" t="s">
        <v>17</v>
      </c>
      <c r="G78" s="58" t="s">
        <v>21</v>
      </c>
      <c r="H78" s="58" t="s">
        <v>1684</v>
      </c>
      <c r="I78" s="56" t="s">
        <v>1662</v>
      </c>
      <c r="J78" s="62">
        <f t="shared" si="4"/>
        <v>2037.93</v>
      </c>
      <c r="K78" s="62">
        <v>2037.93</v>
      </c>
      <c r="L78" s="24">
        <f t="shared" si="2"/>
        <v>0</v>
      </c>
      <c r="M78" s="25"/>
      <c r="N78" s="26" t="s">
        <v>56</v>
      </c>
    </row>
    <row r="79" spans="2:14">
      <c r="B79" s="19" t="s">
        <v>1686</v>
      </c>
      <c r="C79" s="78" t="s">
        <v>15</v>
      </c>
      <c r="D79" s="21" t="s">
        <v>1687</v>
      </c>
      <c r="E79" s="22">
        <v>137.26</v>
      </c>
      <c r="F79" s="21" t="s">
        <v>17</v>
      </c>
      <c r="G79" s="21" t="s">
        <v>21</v>
      </c>
      <c r="H79" s="21" t="s">
        <v>1688</v>
      </c>
      <c r="I79" s="19" t="s">
        <v>1686</v>
      </c>
      <c r="J79" s="22">
        <f t="shared" si="4"/>
        <v>137.26</v>
      </c>
      <c r="K79" s="22">
        <v>137.26</v>
      </c>
      <c r="L79" s="24">
        <f t="shared" si="2"/>
        <v>0</v>
      </c>
      <c r="M79" s="25"/>
      <c r="N79" s="26"/>
    </row>
    <row r="80" spans="2:14">
      <c r="B80" s="19" t="s">
        <v>1686</v>
      </c>
      <c r="C80" s="78" t="s">
        <v>15</v>
      </c>
      <c r="D80" s="21" t="s">
        <v>1689</v>
      </c>
      <c r="E80" s="22">
        <v>205.22</v>
      </c>
      <c r="F80" s="21" t="s">
        <v>17</v>
      </c>
      <c r="G80" s="21" t="s">
        <v>21</v>
      </c>
      <c r="H80" s="21" t="s">
        <v>1690</v>
      </c>
      <c r="I80" s="19" t="s">
        <v>1686</v>
      </c>
      <c r="J80" s="22">
        <f t="shared" si="4"/>
        <v>205.22</v>
      </c>
      <c r="K80" s="22">
        <v>205.22</v>
      </c>
      <c r="L80" s="24">
        <f t="shared" si="2"/>
        <v>0</v>
      </c>
      <c r="M80" s="25"/>
      <c r="N80" s="26"/>
    </row>
    <row r="81" spans="2:14">
      <c r="B81" s="19" t="s">
        <v>1686</v>
      </c>
      <c r="C81" s="78" t="s">
        <v>15</v>
      </c>
      <c r="D81" s="21" t="s">
        <v>1691</v>
      </c>
      <c r="E81" s="22">
        <v>945.91</v>
      </c>
      <c r="F81" s="21" t="s">
        <v>17</v>
      </c>
      <c r="G81" s="21" t="s">
        <v>18</v>
      </c>
      <c r="H81" s="21" t="s">
        <v>1692</v>
      </c>
      <c r="I81" s="19" t="s">
        <v>1686</v>
      </c>
      <c r="J81" s="22">
        <f t="shared" si="4"/>
        <v>945.91</v>
      </c>
      <c r="K81" s="22">
        <v>945.91</v>
      </c>
      <c r="L81" s="24">
        <f t="shared" si="2"/>
        <v>0</v>
      </c>
      <c r="M81" s="25"/>
      <c r="N81" s="26"/>
    </row>
    <row r="82" spans="2:14">
      <c r="B82" s="19" t="s">
        <v>1686</v>
      </c>
      <c r="C82" s="78" t="s">
        <v>15</v>
      </c>
      <c r="D82" s="21" t="s">
        <v>1693</v>
      </c>
      <c r="E82" s="22">
        <v>297.86</v>
      </c>
      <c r="F82" s="21" t="s">
        <v>17</v>
      </c>
      <c r="G82" s="21" t="s">
        <v>37</v>
      </c>
      <c r="H82" s="21" t="s">
        <v>1694</v>
      </c>
      <c r="I82" s="19" t="s">
        <v>1686</v>
      </c>
      <c r="J82" s="22">
        <f t="shared" si="4"/>
        <v>297.86</v>
      </c>
      <c r="K82" s="22">
        <v>297.86</v>
      </c>
      <c r="L82" s="24">
        <f t="shared" si="2"/>
        <v>0</v>
      </c>
      <c r="M82" s="25"/>
      <c r="N82" s="26"/>
    </row>
    <row r="83" spans="2:14">
      <c r="B83" s="19" t="s">
        <v>1686</v>
      </c>
      <c r="C83" s="78" t="s">
        <v>15</v>
      </c>
      <c r="D83" s="21" t="s">
        <v>1695</v>
      </c>
      <c r="E83" s="22">
        <v>370.69</v>
      </c>
      <c r="F83" s="21" t="s">
        <v>17</v>
      </c>
      <c r="G83" s="21" t="s">
        <v>21</v>
      </c>
      <c r="H83" s="21" t="s">
        <v>1696</v>
      </c>
      <c r="I83" s="19" t="s">
        <v>1686</v>
      </c>
      <c r="J83" s="22">
        <f t="shared" si="4"/>
        <v>370.69</v>
      </c>
      <c r="K83" s="22">
        <v>370.69</v>
      </c>
      <c r="L83" s="24">
        <f t="shared" si="2"/>
        <v>0</v>
      </c>
      <c r="M83" s="25"/>
      <c r="N83" s="26"/>
    </row>
    <row r="84" spans="2:14">
      <c r="B84" s="19" t="s">
        <v>1686</v>
      </c>
      <c r="C84" s="78" t="s">
        <v>15</v>
      </c>
      <c r="D84" s="21" t="s">
        <v>1697</v>
      </c>
      <c r="E84" s="22">
        <v>0</v>
      </c>
      <c r="F84" s="21" t="s">
        <v>471</v>
      </c>
      <c r="G84" s="21"/>
      <c r="H84" s="21"/>
      <c r="I84" s="19" t="s">
        <v>1686</v>
      </c>
      <c r="J84" s="22">
        <f t="shared" si="4"/>
        <v>0</v>
      </c>
      <c r="K84" s="22">
        <v>0</v>
      </c>
      <c r="L84" s="24">
        <f t="shared" si="2"/>
        <v>0</v>
      </c>
      <c r="M84" s="25"/>
      <c r="N84" s="26"/>
    </row>
    <row r="85" spans="2:14">
      <c r="B85" s="19" t="s">
        <v>1686</v>
      </c>
      <c r="C85" s="78" t="s">
        <v>15</v>
      </c>
      <c r="D85" s="21" t="s">
        <v>1698</v>
      </c>
      <c r="E85" s="22">
        <v>56.17</v>
      </c>
      <c r="F85" s="21" t="s">
        <v>17</v>
      </c>
      <c r="G85" s="21" t="s">
        <v>21</v>
      </c>
      <c r="H85" s="21" t="s">
        <v>1699</v>
      </c>
      <c r="I85" s="19" t="s">
        <v>1686</v>
      </c>
      <c r="J85" s="22">
        <f t="shared" si="4"/>
        <v>56.17</v>
      </c>
      <c r="K85" s="22">
        <v>56.17</v>
      </c>
      <c r="L85" s="24">
        <f t="shared" si="2"/>
        <v>0</v>
      </c>
      <c r="M85" s="25"/>
      <c r="N85" s="26"/>
    </row>
    <row r="86" spans="2:14">
      <c r="B86" s="19" t="s">
        <v>1686</v>
      </c>
      <c r="C86" s="78" t="s">
        <v>15</v>
      </c>
      <c r="D86" s="21" t="s">
        <v>1700</v>
      </c>
      <c r="E86" s="22">
        <v>398.8</v>
      </c>
      <c r="F86" s="21" t="s">
        <v>17</v>
      </c>
      <c r="G86" s="21" t="s">
        <v>21</v>
      </c>
      <c r="H86" s="21" t="s">
        <v>1701</v>
      </c>
      <c r="I86" s="19" t="s">
        <v>1686</v>
      </c>
      <c r="J86" s="22">
        <f t="shared" si="4"/>
        <v>398.8</v>
      </c>
      <c r="K86" s="22">
        <v>398.8</v>
      </c>
      <c r="L86" s="24">
        <f t="shared" si="2"/>
        <v>0</v>
      </c>
      <c r="M86" s="25"/>
      <c r="N86" s="26"/>
    </row>
    <row r="87" spans="2:14">
      <c r="B87" s="19" t="s">
        <v>1686</v>
      </c>
      <c r="C87" s="78" t="s">
        <v>15</v>
      </c>
      <c r="D87" s="21" t="s">
        <v>1702</v>
      </c>
      <c r="E87" s="22">
        <v>2174</v>
      </c>
      <c r="F87" s="21" t="s">
        <v>17</v>
      </c>
      <c r="G87" s="21" t="s">
        <v>37</v>
      </c>
      <c r="H87" s="21" t="s">
        <v>1703</v>
      </c>
      <c r="I87" s="19" t="s">
        <v>1686</v>
      </c>
      <c r="J87" s="22">
        <f t="shared" si="4"/>
        <v>2174</v>
      </c>
      <c r="K87" s="22">
        <v>2174</v>
      </c>
      <c r="L87" s="24">
        <f t="shared" si="2"/>
        <v>0</v>
      </c>
      <c r="M87" s="24"/>
      <c r="N87" s="26"/>
    </row>
    <row r="88" spans="2:14">
      <c r="B88" s="19" t="s">
        <v>1686</v>
      </c>
      <c r="C88" s="78" t="s">
        <v>15</v>
      </c>
      <c r="D88" s="21" t="s">
        <v>1704</v>
      </c>
      <c r="E88" s="22">
        <v>123.29</v>
      </c>
      <c r="F88" s="21" t="s">
        <v>17</v>
      </c>
      <c r="G88" s="21" t="s">
        <v>21</v>
      </c>
      <c r="H88" s="21" t="s">
        <v>1705</v>
      </c>
      <c r="I88" s="19" t="s">
        <v>1686</v>
      </c>
      <c r="J88" s="22">
        <f t="shared" si="4"/>
        <v>123.29</v>
      </c>
      <c r="K88" s="22">
        <v>123.29</v>
      </c>
      <c r="L88" s="24">
        <f t="shared" si="2"/>
        <v>0</v>
      </c>
      <c r="M88" s="25"/>
      <c r="N88" s="26"/>
    </row>
    <row r="89" spans="2:14">
      <c r="B89" s="56" t="s">
        <v>1686</v>
      </c>
      <c r="C89" s="57" t="s">
        <v>15</v>
      </c>
      <c r="D89" s="58" t="s">
        <v>1706</v>
      </c>
      <c r="E89" s="62">
        <v>1737.66</v>
      </c>
      <c r="F89" s="58" t="s">
        <v>17</v>
      </c>
      <c r="G89" s="58" t="s">
        <v>21</v>
      </c>
      <c r="H89" s="82" t="s">
        <v>1707</v>
      </c>
      <c r="I89" s="56" t="s">
        <v>1686</v>
      </c>
      <c r="J89" s="62">
        <f t="shared" si="4"/>
        <v>1737.66</v>
      </c>
      <c r="K89" s="62">
        <v>1737.66</v>
      </c>
      <c r="L89" s="24">
        <f t="shared" si="2"/>
        <v>0</v>
      </c>
      <c r="M89" s="25"/>
      <c r="N89" s="26" t="s">
        <v>56</v>
      </c>
    </row>
    <row r="90" spans="2:14">
      <c r="B90" s="64" t="s">
        <v>1686</v>
      </c>
      <c r="C90" s="65" t="s">
        <v>15</v>
      </c>
      <c r="D90" s="66" t="s">
        <v>1708</v>
      </c>
      <c r="E90" s="67">
        <v>266.6</v>
      </c>
      <c r="F90" s="66" t="s">
        <v>17</v>
      </c>
      <c r="G90" s="66" t="s">
        <v>21</v>
      </c>
      <c r="H90" s="66" t="s">
        <v>1709</v>
      </c>
      <c r="I90" s="64" t="s">
        <v>1686</v>
      </c>
      <c r="J90" s="67">
        <f t="shared" si="4"/>
        <v>266.6</v>
      </c>
      <c r="K90" s="67">
        <v>266.6</v>
      </c>
      <c r="L90" s="24">
        <f t="shared" si="2"/>
        <v>0</v>
      </c>
      <c r="M90" s="25"/>
      <c r="N90" s="26" t="s">
        <v>366</v>
      </c>
    </row>
    <row r="91" spans="2:14">
      <c r="B91" s="64" t="s">
        <v>1686</v>
      </c>
      <c r="C91" s="65" t="s">
        <v>15</v>
      </c>
      <c r="D91" s="66" t="s">
        <v>1710</v>
      </c>
      <c r="E91" s="67">
        <v>71.82</v>
      </c>
      <c r="F91" s="66" t="s">
        <v>17</v>
      </c>
      <c r="G91" s="66" t="s">
        <v>21</v>
      </c>
      <c r="H91" s="66" t="s">
        <v>1711</v>
      </c>
      <c r="I91" s="64" t="s">
        <v>1686</v>
      </c>
      <c r="J91" s="67">
        <f t="shared" si="4"/>
        <v>71.82</v>
      </c>
      <c r="K91" s="67">
        <v>71.82</v>
      </c>
      <c r="L91" s="24">
        <f t="shared" si="2"/>
        <v>0</v>
      </c>
      <c r="M91" s="25"/>
      <c r="N91" s="26" t="s">
        <v>366</v>
      </c>
    </row>
    <row r="92" spans="2:14">
      <c r="B92" s="72" t="s">
        <v>1712</v>
      </c>
      <c r="C92" s="73" t="s">
        <v>15</v>
      </c>
      <c r="D92" s="74" t="s">
        <v>1713</v>
      </c>
      <c r="E92" s="75">
        <v>187.59</v>
      </c>
      <c r="F92" s="74" t="s">
        <v>17</v>
      </c>
      <c r="G92" s="74" t="s">
        <v>21</v>
      </c>
      <c r="H92" s="74" t="s">
        <v>1714</v>
      </c>
      <c r="I92" s="72" t="s">
        <v>1712</v>
      </c>
      <c r="J92" s="75">
        <f t="shared" si="4"/>
        <v>187.59</v>
      </c>
      <c r="K92" s="75">
        <v>187.59</v>
      </c>
      <c r="L92" s="24">
        <f t="shared" si="2"/>
        <v>0</v>
      </c>
      <c r="M92" s="25"/>
      <c r="N92" s="26"/>
    </row>
    <row r="93" spans="2:14">
      <c r="B93" s="19" t="s">
        <v>1712</v>
      </c>
      <c r="C93" s="78" t="s">
        <v>15</v>
      </c>
      <c r="D93" s="21" t="s">
        <v>1715</v>
      </c>
      <c r="E93" s="22">
        <v>202.99</v>
      </c>
      <c r="F93" s="21" t="s">
        <v>17</v>
      </c>
      <c r="G93" s="21" t="s">
        <v>21</v>
      </c>
      <c r="H93" s="21" t="s">
        <v>1716</v>
      </c>
      <c r="I93" s="19" t="s">
        <v>1712</v>
      </c>
      <c r="J93" s="22">
        <f t="shared" si="4"/>
        <v>202.99</v>
      </c>
      <c r="K93" s="22">
        <v>202.99</v>
      </c>
      <c r="L93" s="24">
        <f t="shared" ref="L93:L139" si="5">J93-K93</f>
        <v>0</v>
      </c>
      <c r="M93" s="25"/>
      <c r="N93" s="26"/>
    </row>
    <row r="94" spans="2:14">
      <c r="B94" s="19" t="s">
        <v>1712</v>
      </c>
      <c r="C94" s="20" t="s">
        <v>15</v>
      </c>
      <c r="D94" s="21" t="s">
        <v>1717</v>
      </c>
      <c r="E94" s="22">
        <v>490.31</v>
      </c>
      <c r="F94" s="21" t="s">
        <v>17</v>
      </c>
      <c r="G94" s="21" t="s">
        <v>21</v>
      </c>
      <c r="H94" s="21" t="s">
        <v>1718</v>
      </c>
      <c r="I94" s="19" t="s">
        <v>1712</v>
      </c>
      <c r="J94" s="22">
        <f t="shared" ref="J94:J121" si="6">E94</f>
        <v>490.31</v>
      </c>
      <c r="K94" s="22">
        <v>490.31</v>
      </c>
      <c r="L94" s="24">
        <f t="shared" si="5"/>
        <v>0</v>
      </c>
      <c r="M94" s="25"/>
      <c r="N94" s="26" t="s">
        <v>63</v>
      </c>
    </row>
    <row r="95" spans="2:14">
      <c r="B95" s="19" t="s">
        <v>1712</v>
      </c>
      <c r="C95" s="78" t="s">
        <v>15</v>
      </c>
      <c r="D95" s="21" t="s">
        <v>1719</v>
      </c>
      <c r="E95" s="22">
        <v>0</v>
      </c>
      <c r="F95" s="21" t="s">
        <v>1720</v>
      </c>
      <c r="G95" s="21"/>
      <c r="H95" s="21"/>
      <c r="I95" s="19" t="s">
        <v>1712</v>
      </c>
      <c r="J95" s="22">
        <f t="shared" si="6"/>
        <v>0</v>
      </c>
      <c r="K95" s="22">
        <v>0</v>
      </c>
      <c r="L95" s="24">
        <f t="shared" si="5"/>
        <v>0</v>
      </c>
      <c r="M95" s="25"/>
      <c r="N95" s="26"/>
    </row>
    <row r="96" spans="2:14">
      <c r="B96" s="72" t="s">
        <v>1712</v>
      </c>
      <c r="C96" s="73" t="s">
        <v>15</v>
      </c>
      <c r="D96" s="74" t="s">
        <v>1721</v>
      </c>
      <c r="E96" s="75">
        <v>2291.83</v>
      </c>
      <c r="F96" s="74" t="s">
        <v>17</v>
      </c>
      <c r="G96" s="74" t="s">
        <v>21</v>
      </c>
      <c r="H96" s="74" t="s">
        <v>1722</v>
      </c>
      <c r="I96" s="72" t="s">
        <v>1712</v>
      </c>
      <c r="J96" s="75">
        <f t="shared" si="6"/>
        <v>2291.83</v>
      </c>
      <c r="K96" s="75">
        <v>2291.83</v>
      </c>
      <c r="L96" s="24">
        <f t="shared" si="5"/>
        <v>0</v>
      </c>
      <c r="M96" s="25"/>
      <c r="N96" s="26" t="s">
        <v>23</v>
      </c>
    </row>
    <row r="97" spans="2:14">
      <c r="B97" s="19" t="s">
        <v>1712</v>
      </c>
      <c r="C97" s="78" t="s">
        <v>15</v>
      </c>
      <c r="D97" s="21" t="s">
        <v>1723</v>
      </c>
      <c r="E97" s="22">
        <v>32.1</v>
      </c>
      <c r="F97" s="21" t="s">
        <v>29</v>
      </c>
      <c r="G97" s="21"/>
      <c r="H97" s="21" t="s">
        <v>1724</v>
      </c>
      <c r="I97" s="19" t="s">
        <v>1712</v>
      </c>
      <c r="J97" s="22">
        <f t="shared" si="6"/>
        <v>32.1</v>
      </c>
      <c r="K97" s="22">
        <v>32.1</v>
      </c>
      <c r="L97" s="24">
        <f t="shared" si="5"/>
        <v>0</v>
      </c>
      <c r="M97" s="25"/>
      <c r="N97" s="26"/>
    </row>
    <row r="98" spans="2:14">
      <c r="B98" s="72" t="s">
        <v>1712</v>
      </c>
      <c r="C98" s="73" t="s">
        <v>15</v>
      </c>
      <c r="D98" s="74" t="s">
        <v>1725</v>
      </c>
      <c r="E98" s="75">
        <v>109.68</v>
      </c>
      <c r="F98" s="74" t="s">
        <v>17</v>
      </c>
      <c r="G98" s="74" t="s">
        <v>21</v>
      </c>
      <c r="H98" s="74" t="s">
        <v>1726</v>
      </c>
      <c r="I98" s="72" t="s">
        <v>1712</v>
      </c>
      <c r="J98" s="75">
        <f t="shared" si="6"/>
        <v>109.68</v>
      </c>
      <c r="K98" s="75">
        <v>109.68</v>
      </c>
      <c r="L98" s="24">
        <f t="shared" si="5"/>
        <v>0</v>
      </c>
      <c r="M98" s="25"/>
      <c r="N98" s="26" t="s">
        <v>224</v>
      </c>
    </row>
    <row r="99" spans="2:14">
      <c r="B99" s="19" t="s">
        <v>1712</v>
      </c>
      <c r="C99" s="20" t="s">
        <v>64</v>
      </c>
      <c r="D99" s="21" t="s">
        <v>1727</v>
      </c>
      <c r="E99" s="22">
        <v>438.28</v>
      </c>
      <c r="F99" s="21" t="s">
        <v>17</v>
      </c>
      <c r="G99" s="21" t="s">
        <v>21</v>
      </c>
      <c r="H99" s="21" t="s">
        <v>1728</v>
      </c>
      <c r="I99" s="19" t="s">
        <v>1712</v>
      </c>
      <c r="J99" s="22">
        <f t="shared" si="6"/>
        <v>438.28</v>
      </c>
      <c r="K99" s="22">
        <v>438.28</v>
      </c>
      <c r="L99" s="24">
        <f t="shared" si="5"/>
        <v>0</v>
      </c>
      <c r="M99" s="25"/>
      <c r="N99" s="26"/>
    </row>
    <row r="100" spans="2:14">
      <c r="B100" s="19" t="s">
        <v>1729</v>
      </c>
      <c r="C100" s="20" t="s">
        <v>64</v>
      </c>
      <c r="D100" s="21" t="s">
        <v>1730</v>
      </c>
      <c r="E100" s="22">
        <v>81.33</v>
      </c>
      <c r="F100" s="21" t="s">
        <v>29</v>
      </c>
      <c r="G100" s="21"/>
      <c r="H100" s="21" t="s">
        <v>1731</v>
      </c>
      <c r="I100" s="19" t="s">
        <v>1729</v>
      </c>
      <c r="J100" s="22">
        <f t="shared" si="6"/>
        <v>81.33</v>
      </c>
      <c r="K100" s="22">
        <v>81.33</v>
      </c>
      <c r="L100" s="24">
        <f t="shared" si="5"/>
        <v>0</v>
      </c>
      <c r="M100" s="25"/>
      <c r="N100" s="26"/>
    </row>
    <row r="101" spans="2:14">
      <c r="B101" s="72" t="s">
        <v>1729</v>
      </c>
      <c r="C101" s="73" t="s">
        <v>15</v>
      </c>
      <c r="D101" s="74" t="s">
        <v>1732</v>
      </c>
      <c r="E101" s="75">
        <v>146.38</v>
      </c>
      <c r="F101" s="74" t="s">
        <v>29</v>
      </c>
      <c r="G101" s="74"/>
      <c r="H101" s="74" t="s">
        <v>1733</v>
      </c>
      <c r="I101" s="72" t="s">
        <v>1729</v>
      </c>
      <c r="J101" s="75">
        <f t="shared" si="6"/>
        <v>146.38</v>
      </c>
      <c r="K101" s="75">
        <v>146.38</v>
      </c>
      <c r="L101" s="24">
        <f t="shared" si="5"/>
        <v>0</v>
      </c>
      <c r="M101" s="25"/>
      <c r="N101" s="26" t="s">
        <v>224</v>
      </c>
    </row>
    <row r="102" spans="2:14">
      <c r="B102" s="19" t="s">
        <v>1734</v>
      </c>
      <c r="C102" s="78" t="s">
        <v>15</v>
      </c>
      <c r="D102" s="21" t="s">
        <v>1735</v>
      </c>
      <c r="E102" s="22">
        <v>312.1</v>
      </c>
      <c r="F102" s="21" t="s">
        <v>17</v>
      </c>
      <c r="G102" s="21" t="s">
        <v>21</v>
      </c>
      <c r="H102" s="21" t="s">
        <v>1736</v>
      </c>
      <c r="I102" s="19" t="s">
        <v>1734</v>
      </c>
      <c r="J102" s="22">
        <f t="shared" si="6"/>
        <v>312.1</v>
      </c>
      <c r="K102" s="22">
        <v>312.1</v>
      </c>
      <c r="L102" s="24">
        <f t="shared" si="5"/>
        <v>0</v>
      </c>
      <c r="M102" s="25"/>
      <c r="N102" s="26"/>
    </row>
    <row r="103" spans="2:14">
      <c r="B103" s="72" t="s">
        <v>1734</v>
      </c>
      <c r="C103" s="73" t="s">
        <v>15</v>
      </c>
      <c r="D103" s="74" t="s">
        <v>1737</v>
      </c>
      <c r="E103" s="75">
        <v>368.45</v>
      </c>
      <c r="F103" s="74" t="s">
        <v>17</v>
      </c>
      <c r="G103" s="74" t="s">
        <v>21</v>
      </c>
      <c r="H103" s="74" t="s">
        <v>1738</v>
      </c>
      <c r="I103" s="72" t="s">
        <v>1734</v>
      </c>
      <c r="J103" s="75">
        <f t="shared" si="6"/>
        <v>368.45</v>
      </c>
      <c r="K103" s="75">
        <v>368.45</v>
      </c>
      <c r="L103" s="24">
        <f t="shared" si="5"/>
        <v>0</v>
      </c>
      <c r="M103" s="25"/>
      <c r="N103" s="26"/>
    </row>
    <row r="104" spans="2:14">
      <c r="B104" s="19" t="s">
        <v>1734</v>
      </c>
      <c r="C104" s="78" t="s">
        <v>15</v>
      </c>
      <c r="D104" s="21" t="s">
        <v>1739</v>
      </c>
      <c r="E104" s="22">
        <v>275.03</v>
      </c>
      <c r="F104" s="21" t="s">
        <v>29</v>
      </c>
      <c r="G104" s="21"/>
      <c r="H104" s="21" t="s">
        <v>1740</v>
      </c>
      <c r="I104" s="19" t="s">
        <v>1734</v>
      </c>
      <c r="J104" s="22">
        <f t="shared" si="6"/>
        <v>275.03</v>
      </c>
      <c r="K104" s="22">
        <v>275.03</v>
      </c>
      <c r="L104" s="24">
        <f t="shared" si="5"/>
        <v>0</v>
      </c>
      <c r="M104" s="25"/>
      <c r="N104" s="26" t="s">
        <v>224</v>
      </c>
    </row>
    <row r="105" spans="2:14">
      <c r="B105" s="19" t="s">
        <v>1734</v>
      </c>
      <c r="C105" s="78" t="s">
        <v>15</v>
      </c>
      <c r="D105" s="21" t="s">
        <v>1741</v>
      </c>
      <c r="E105" s="22">
        <v>185.34</v>
      </c>
      <c r="F105" s="21" t="s">
        <v>17</v>
      </c>
      <c r="G105" s="21" t="s">
        <v>18</v>
      </c>
      <c r="H105" s="21" t="s">
        <v>1742</v>
      </c>
      <c r="I105" s="19" t="s">
        <v>1734</v>
      </c>
      <c r="J105" s="22">
        <f t="shared" si="6"/>
        <v>185.34</v>
      </c>
      <c r="K105" s="22">
        <v>185.34</v>
      </c>
      <c r="L105" s="24">
        <f t="shared" si="5"/>
        <v>0</v>
      </c>
      <c r="M105" s="25"/>
      <c r="N105" s="26"/>
    </row>
    <row r="106" spans="2:14">
      <c r="B106" s="72" t="s">
        <v>1734</v>
      </c>
      <c r="C106" s="73" t="s">
        <v>15</v>
      </c>
      <c r="D106" s="74" t="s">
        <v>1743</v>
      </c>
      <c r="E106" s="75">
        <v>207.4</v>
      </c>
      <c r="F106" s="74" t="s">
        <v>17</v>
      </c>
      <c r="G106" s="74" t="s">
        <v>21</v>
      </c>
      <c r="H106" s="74" t="s">
        <v>1744</v>
      </c>
      <c r="I106" s="72" t="s">
        <v>1734</v>
      </c>
      <c r="J106" s="75">
        <f t="shared" si="6"/>
        <v>207.4</v>
      </c>
      <c r="K106" s="75">
        <v>207.4</v>
      </c>
      <c r="L106" s="24">
        <f t="shared" si="5"/>
        <v>0</v>
      </c>
      <c r="M106" s="25"/>
      <c r="N106" s="26" t="s">
        <v>33</v>
      </c>
    </row>
    <row r="107" spans="2:14">
      <c r="B107" s="19" t="s">
        <v>1734</v>
      </c>
      <c r="C107" s="20" t="s">
        <v>64</v>
      </c>
      <c r="D107" s="21" t="s">
        <v>1745</v>
      </c>
      <c r="E107" s="22">
        <v>348.88</v>
      </c>
      <c r="F107" s="21" t="s">
        <v>17</v>
      </c>
      <c r="G107" s="21" t="s">
        <v>21</v>
      </c>
      <c r="H107" s="21" t="s">
        <v>1746</v>
      </c>
      <c r="I107" s="19" t="s">
        <v>1734</v>
      </c>
      <c r="J107" s="22">
        <f t="shared" si="6"/>
        <v>348.88</v>
      </c>
      <c r="K107" s="22">
        <v>348.88</v>
      </c>
      <c r="L107" s="24">
        <f t="shared" si="5"/>
        <v>0</v>
      </c>
      <c r="M107" s="25"/>
      <c r="N107" s="26"/>
    </row>
    <row r="108" spans="2:14">
      <c r="B108" s="56" t="s">
        <v>1734</v>
      </c>
      <c r="C108" s="57" t="s">
        <v>15</v>
      </c>
      <c r="D108" s="58" t="s">
        <v>1747</v>
      </c>
      <c r="E108" s="62">
        <v>1544.51</v>
      </c>
      <c r="F108" s="58" t="s">
        <v>17</v>
      </c>
      <c r="G108" s="58" t="s">
        <v>21</v>
      </c>
      <c r="H108" s="83" t="s">
        <v>1748</v>
      </c>
      <c r="I108" s="56" t="s">
        <v>1734</v>
      </c>
      <c r="J108" s="62">
        <f t="shared" si="6"/>
        <v>1544.51</v>
      </c>
      <c r="K108" s="62">
        <v>1544.51</v>
      </c>
      <c r="L108" s="24">
        <f t="shared" si="5"/>
        <v>0</v>
      </c>
      <c r="M108" s="25"/>
      <c r="N108" s="26" t="s">
        <v>56</v>
      </c>
    </row>
    <row r="109" spans="2:14">
      <c r="B109" s="19" t="s">
        <v>1749</v>
      </c>
      <c r="C109" s="78" t="s">
        <v>15</v>
      </c>
      <c r="D109" s="21" t="s">
        <v>1750</v>
      </c>
      <c r="E109" s="22">
        <v>223.15</v>
      </c>
      <c r="F109" s="21" t="s">
        <v>17</v>
      </c>
      <c r="G109" s="21" t="s">
        <v>21</v>
      </c>
      <c r="H109" s="68" t="s">
        <v>1751</v>
      </c>
      <c r="I109" s="19" t="s">
        <v>1749</v>
      </c>
      <c r="J109" s="22">
        <f t="shared" si="6"/>
        <v>223.15</v>
      </c>
      <c r="K109" s="22">
        <v>223.15</v>
      </c>
      <c r="L109" s="24">
        <f t="shared" si="5"/>
        <v>0</v>
      </c>
      <c r="M109" s="25"/>
      <c r="N109" s="26"/>
    </row>
    <row r="110" spans="2:14">
      <c r="B110" s="19" t="s">
        <v>1749</v>
      </c>
      <c r="C110" s="78" t="s">
        <v>15</v>
      </c>
      <c r="D110" s="21" t="s">
        <v>1752</v>
      </c>
      <c r="E110" s="22">
        <v>109.9</v>
      </c>
      <c r="F110" s="21" t="s">
        <v>17</v>
      </c>
      <c r="G110" s="21" t="s">
        <v>18</v>
      </c>
      <c r="H110" s="21" t="s">
        <v>1753</v>
      </c>
      <c r="I110" s="19" t="s">
        <v>1749</v>
      </c>
      <c r="J110" s="22">
        <f t="shared" si="6"/>
        <v>109.9</v>
      </c>
      <c r="K110" s="22">
        <v>109.9</v>
      </c>
      <c r="L110" s="24">
        <f t="shared" si="5"/>
        <v>0</v>
      </c>
      <c r="M110" s="25"/>
      <c r="N110" s="26"/>
    </row>
    <row r="111" spans="2:14">
      <c r="B111" s="19" t="s">
        <v>1749</v>
      </c>
      <c r="C111" s="78" t="s">
        <v>15</v>
      </c>
      <c r="D111" s="21" t="s">
        <v>1754</v>
      </c>
      <c r="E111" s="22">
        <v>375.18</v>
      </c>
      <c r="F111" s="21" t="s">
        <v>17</v>
      </c>
      <c r="G111" s="21" t="s">
        <v>37</v>
      </c>
      <c r="H111" s="21" t="s">
        <v>1755</v>
      </c>
      <c r="I111" s="19" t="s">
        <v>1749</v>
      </c>
      <c r="J111" s="22">
        <f t="shared" si="6"/>
        <v>375.18</v>
      </c>
      <c r="K111" s="22">
        <v>375.18</v>
      </c>
      <c r="L111" s="24">
        <f t="shared" si="5"/>
        <v>0</v>
      </c>
      <c r="M111" s="25"/>
      <c r="N111" s="26" t="s">
        <v>33</v>
      </c>
    </row>
    <row r="112" spans="2:14">
      <c r="B112" s="19" t="s">
        <v>1749</v>
      </c>
      <c r="C112" s="78" t="s">
        <v>15</v>
      </c>
      <c r="D112" s="21" t="s">
        <v>1756</v>
      </c>
      <c r="E112" s="22">
        <v>418.78</v>
      </c>
      <c r="F112" s="21" t="s">
        <v>17</v>
      </c>
      <c r="G112" s="21" t="s">
        <v>21</v>
      </c>
      <c r="H112" s="21" t="s">
        <v>1757</v>
      </c>
      <c r="I112" s="19" t="s">
        <v>1749</v>
      </c>
      <c r="J112" s="22">
        <f t="shared" si="6"/>
        <v>418.78</v>
      </c>
      <c r="K112" s="22">
        <v>418.78</v>
      </c>
      <c r="L112" s="24">
        <f t="shared" si="5"/>
        <v>0</v>
      </c>
      <c r="M112" s="25"/>
      <c r="N112" s="26" t="s">
        <v>33</v>
      </c>
    </row>
    <row r="113" spans="2:14">
      <c r="B113" s="19" t="s">
        <v>1749</v>
      </c>
      <c r="C113" s="78" t="s">
        <v>15</v>
      </c>
      <c r="D113" s="21" t="s">
        <v>1758</v>
      </c>
      <c r="E113" s="22">
        <v>854.21</v>
      </c>
      <c r="F113" s="21" t="s">
        <v>17</v>
      </c>
      <c r="G113" s="21" t="s">
        <v>18</v>
      </c>
      <c r="H113" s="21" t="s">
        <v>1759</v>
      </c>
      <c r="I113" s="19" t="s">
        <v>1749</v>
      </c>
      <c r="J113" s="22">
        <f t="shared" si="6"/>
        <v>854.21</v>
      </c>
      <c r="K113" s="22">
        <v>854.21</v>
      </c>
      <c r="L113" s="24">
        <f t="shared" si="5"/>
        <v>0</v>
      </c>
      <c r="M113" s="25"/>
      <c r="N113" s="26"/>
    </row>
    <row r="114" spans="2:14">
      <c r="B114" s="56" t="s">
        <v>1749</v>
      </c>
      <c r="C114" s="57" t="s">
        <v>15</v>
      </c>
      <c r="D114" s="58" t="s">
        <v>1760</v>
      </c>
      <c r="E114" s="62">
        <v>526.28</v>
      </c>
      <c r="F114" s="58" t="s">
        <v>17</v>
      </c>
      <c r="G114" s="58" t="s">
        <v>21</v>
      </c>
      <c r="H114" s="58" t="s">
        <v>1761</v>
      </c>
      <c r="I114" s="56" t="s">
        <v>1749</v>
      </c>
      <c r="J114" s="62">
        <f t="shared" si="6"/>
        <v>526.28</v>
      </c>
      <c r="K114" s="62">
        <v>526.28</v>
      </c>
      <c r="L114" s="24">
        <f t="shared" si="5"/>
        <v>0</v>
      </c>
      <c r="M114" s="25"/>
      <c r="N114" s="26"/>
    </row>
    <row r="115" spans="2:14">
      <c r="B115" s="56" t="s">
        <v>1749</v>
      </c>
      <c r="C115" s="57" t="s">
        <v>15</v>
      </c>
      <c r="D115" s="58" t="s">
        <v>1762</v>
      </c>
      <c r="E115" s="62">
        <v>929.69</v>
      </c>
      <c r="F115" s="58" t="s">
        <v>1546</v>
      </c>
      <c r="G115" s="58"/>
      <c r="H115" s="58" t="s">
        <v>1763</v>
      </c>
      <c r="I115" s="56" t="s">
        <v>1749</v>
      </c>
      <c r="J115" s="62">
        <f t="shared" si="6"/>
        <v>929.69</v>
      </c>
      <c r="K115" s="62">
        <v>929.69</v>
      </c>
      <c r="L115" s="24">
        <f t="shared" si="5"/>
        <v>0</v>
      </c>
      <c r="M115" s="25"/>
      <c r="N115" s="26"/>
    </row>
    <row r="116" spans="2:14">
      <c r="B116" s="56" t="s">
        <v>1749</v>
      </c>
      <c r="C116" s="57" t="s">
        <v>15</v>
      </c>
      <c r="D116" s="58" t="s">
        <v>1764</v>
      </c>
      <c r="E116" s="62">
        <v>1776.27</v>
      </c>
      <c r="F116" s="58" t="s">
        <v>17</v>
      </c>
      <c r="G116" s="58" t="s">
        <v>21</v>
      </c>
      <c r="H116" s="58" t="s">
        <v>1765</v>
      </c>
      <c r="I116" s="56" t="s">
        <v>1749</v>
      </c>
      <c r="J116" s="62">
        <f t="shared" si="6"/>
        <v>1776.27</v>
      </c>
      <c r="K116" s="62">
        <v>1776.27</v>
      </c>
      <c r="L116" s="24">
        <f t="shared" si="5"/>
        <v>0</v>
      </c>
      <c r="M116" s="25"/>
      <c r="N116" s="26"/>
    </row>
    <row r="117" spans="2:14">
      <c r="B117" s="56" t="s">
        <v>1749</v>
      </c>
      <c r="C117" s="57" t="s">
        <v>15</v>
      </c>
      <c r="D117" s="58" t="s">
        <v>1766</v>
      </c>
      <c r="E117" s="62">
        <v>1151.89</v>
      </c>
      <c r="F117" s="58" t="s">
        <v>17</v>
      </c>
      <c r="G117" s="58" t="s">
        <v>21</v>
      </c>
      <c r="H117" s="58" t="s">
        <v>1767</v>
      </c>
      <c r="I117" s="56" t="s">
        <v>1749</v>
      </c>
      <c r="J117" s="62">
        <f t="shared" si="6"/>
        <v>1151.89</v>
      </c>
      <c r="K117" s="62">
        <v>1151.89</v>
      </c>
      <c r="L117" s="24">
        <f t="shared" si="5"/>
        <v>0</v>
      </c>
      <c r="M117" s="25"/>
      <c r="N117" s="26"/>
    </row>
    <row r="118" spans="2:14">
      <c r="B118" s="19" t="s">
        <v>1768</v>
      </c>
      <c r="C118" s="78" t="s">
        <v>15</v>
      </c>
      <c r="D118" s="21" t="s">
        <v>1769</v>
      </c>
      <c r="E118" s="22">
        <v>56.3</v>
      </c>
      <c r="F118" s="21" t="s">
        <v>17</v>
      </c>
      <c r="G118" s="21" t="s">
        <v>21</v>
      </c>
      <c r="H118" s="21" t="s">
        <v>1770</v>
      </c>
      <c r="I118" s="19" t="s">
        <v>1768</v>
      </c>
      <c r="J118" s="22">
        <f t="shared" si="6"/>
        <v>56.3</v>
      </c>
      <c r="K118" s="22">
        <v>56.3</v>
      </c>
      <c r="L118" s="24">
        <f t="shared" si="5"/>
        <v>0</v>
      </c>
      <c r="M118" s="25"/>
      <c r="N118" s="26"/>
    </row>
    <row r="119" spans="2:14">
      <c r="B119" s="19" t="s">
        <v>1768</v>
      </c>
      <c r="C119" s="78" t="s">
        <v>15</v>
      </c>
      <c r="D119" s="21" t="s">
        <v>1771</v>
      </c>
      <c r="E119" s="22">
        <v>45.34</v>
      </c>
      <c r="F119" s="21" t="s">
        <v>29</v>
      </c>
      <c r="G119" s="21"/>
      <c r="H119" s="21" t="s">
        <v>1772</v>
      </c>
      <c r="I119" s="19" t="s">
        <v>1768</v>
      </c>
      <c r="J119" s="22">
        <f t="shared" si="6"/>
        <v>45.34</v>
      </c>
      <c r="K119" s="22">
        <v>45.34</v>
      </c>
      <c r="L119" s="24">
        <f t="shared" si="5"/>
        <v>0</v>
      </c>
      <c r="M119" s="25"/>
      <c r="N119" s="26"/>
    </row>
    <row r="120" spans="2:14">
      <c r="B120" s="19" t="s">
        <v>1768</v>
      </c>
      <c r="C120" s="78" t="s">
        <v>15</v>
      </c>
      <c r="D120" s="21" t="s">
        <v>1773</v>
      </c>
      <c r="E120" s="22">
        <v>165.05</v>
      </c>
      <c r="F120" s="21" t="s">
        <v>29</v>
      </c>
      <c r="G120" s="21"/>
      <c r="H120" s="21" t="s">
        <v>1774</v>
      </c>
      <c r="I120" s="19" t="s">
        <v>1768</v>
      </c>
      <c r="J120" s="22">
        <f t="shared" si="6"/>
        <v>165.05</v>
      </c>
      <c r="K120" s="22">
        <v>165.05</v>
      </c>
      <c r="L120" s="24">
        <f t="shared" si="5"/>
        <v>0</v>
      </c>
      <c r="M120" s="25"/>
      <c r="N120" s="26"/>
    </row>
    <row r="121" spans="2:14">
      <c r="B121" s="19" t="s">
        <v>1768</v>
      </c>
      <c r="C121" s="78" t="s">
        <v>15</v>
      </c>
      <c r="D121" s="21" t="s">
        <v>1775</v>
      </c>
      <c r="E121" s="22">
        <v>307.33</v>
      </c>
      <c r="F121" s="21" t="s">
        <v>17</v>
      </c>
      <c r="G121" s="21" t="s">
        <v>37</v>
      </c>
      <c r="H121" s="21" t="s">
        <v>1776</v>
      </c>
      <c r="I121" s="19" t="s">
        <v>1768</v>
      </c>
      <c r="J121" s="22">
        <f t="shared" si="6"/>
        <v>307.33</v>
      </c>
      <c r="K121" s="22">
        <v>307.33</v>
      </c>
      <c r="L121" s="24">
        <f t="shared" si="5"/>
        <v>0</v>
      </c>
      <c r="M121" s="25"/>
      <c r="N121" s="26"/>
    </row>
    <row r="122" spans="2:14">
      <c r="B122" s="19" t="s">
        <v>1768</v>
      </c>
      <c r="C122" s="78" t="s">
        <v>15</v>
      </c>
      <c r="D122" s="21" t="s">
        <v>1777</v>
      </c>
      <c r="E122" s="22">
        <v>865.96</v>
      </c>
      <c r="F122" s="21" t="s">
        <v>17</v>
      </c>
      <c r="G122" s="21" t="s">
        <v>21</v>
      </c>
      <c r="H122" s="21" t="s">
        <v>1778</v>
      </c>
      <c r="I122" s="19" t="s">
        <v>1768</v>
      </c>
      <c r="J122" s="22">
        <f t="shared" ref="J122:J125" si="7">E122</f>
        <v>865.96</v>
      </c>
      <c r="K122" s="22">
        <v>865.96</v>
      </c>
      <c r="L122" s="24">
        <f t="shared" si="5"/>
        <v>0</v>
      </c>
      <c r="M122" s="25"/>
      <c r="N122" s="26"/>
    </row>
    <row r="123" spans="2:14">
      <c r="B123" s="19" t="s">
        <v>1768</v>
      </c>
      <c r="C123" s="78" t="s">
        <v>15</v>
      </c>
      <c r="D123" s="21" t="s">
        <v>1779</v>
      </c>
      <c r="E123" s="22">
        <v>114.78</v>
      </c>
      <c r="F123" s="21" t="s">
        <v>29</v>
      </c>
      <c r="G123" s="21"/>
      <c r="H123" s="21" t="s">
        <v>1780</v>
      </c>
      <c r="I123" s="19" t="s">
        <v>1768</v>
      </c>
      <c r="J123" s="22">
        <f t="shared" si="7"/>
        <v>114.78</v>
      </c>
      <c r="K123" s="22">
        <v>114.78</v>
      </c>
      <c r="L123" s="24">
        <f t="shared" si="5"/>
        <v>0</v>
      </c>
      <c r="M123" s="25"/>
      <c r="N123" s="26"/>
    </row>
    <row r="124" spans="2:14">
      <c r="B124" s="19" t="s">
        <v>1768</v>
      </c>
      <c r="C124" s="78" t="s">
        <v>15</v>
      </c>
      <c r="D124" s="21" t="s">
        <v>1781</v>
      </c>
      <c r="E124" s="22">
        <v>288.75</v>
      </c>
      <c r="F124" s="21" t="s">
        <v>17</v>
      </c>
      <c r="G124" s="21" t="s">
        <v>21</v>
      </c>
      <c r="H124" s="21" t="s">
        <v>1782</v>
      </c>
      <c r="I124" s="19" t="s">
        <v>1768</v>
      </c>
      <c r="J124" s="22">
        <f t="shared" si="7"/>
        <v>288.75</v>
      </c>
      <c r="K124" s="22">
        <v>288.75</v>
      </c>
      <c r="L124" s="24">
        <f t="shared" si="5"/>
        <v>0</v>
      </c>
      <c r="M124" s="25"/>
      <c r="N124" s="26"/>
    </row>
    <row r="125" spans="2:14">
      <c r="B125" s="19" t="s">
        <v>1768</v>
      </c>
      <c r="C125" s="78" t="s">
        <v>15</v>
      </c>
      <c r="D125" s="21" t="s">
        <v>1783</v>
      </c>
      <c r="E125" s="22">
        <v>206.82</v>
      </c>
      <c r="F125" s="21" t="s">
        <v>29</v>
      </c>
      <c r="G125" s="21"/>
      <c r="H125" s="21" t="s">
        <v>1784</v>
      </c>
      <c r="I125" s="19" t="s">
        <v>1768</v>
      </c>
      <c r="J125" s="22">
        <f t="shared" si="7"/>
        <v>206.82</v>
      </c>
      <c r="K125" s="22">
        <v>206.82</v>
      </c>
      <c r="L125" s="24">
        <f t="shared" si="5"/>
        <v>0</v>
      </c>
      <c r="M125" s="25"/>
      <c r="N125" s="26"/>
    </row>
    <row r="126" spans="2:14">
      <c r="B126" s="19" t="s">
        <v>1768</v>
      </c>
      <c r="C126" s="78" t="s">
        <v>15</v>
      </c>
      <c r="D126" s="21" t="s">
        <v>1785</v>
      </c>
      <c r="E126" s="22">
        <v>97.39</v>
      </c>
      <c r="F126" s="21" t="s">
        <v>17</v>
      </c>
      <c r="G126" s="21" t="s">
        <v>21</v>
      </c>
      <c r="H126" s="21" t="s">
        <v>1786</v>
      </c>
      <c r="I126" s="19" t="s">
        <v>1768</v>
      </c>
      <c r="J126" s="22">
        <f t="shared" ref="J126:J168" si="8">E126</f>
        <v>97.39</v>
      </c>
      <c r="K126" s="22">
        <v>97.39</v>
      </c>
      <c r="L126" s="24">
        <f t="shared" si="5"/>
        <v>0</v>
      </c>
      <c r="M126" s="25"/>
      <c r="N126" s="26"/>
    </row>
    <row r="127" spans="2:14">
      <c r="B127" s="19" t="s">
        <v>1768</v>
      </c>
      <c r="C127" s="78" t="s">
        <v>15</v>
      </c>
      <c r="D127" s="21" t="s">
        <v>1787</v>
      </c>
      <c r="E127" s="22">
        <v>500</v>
      </c>
      <c r="F127" s="21" t="s">
        <v>17</v>
      </c>
      <c r="G127" s="21" t="s">
        <v>21</v>
      </c>
      <c r="H127" s="21" t="s">
        <v>1788</v>
      </c>
      <c r="I127" s="19" t="s">
        <v>1768</v>
      </c>
      <c r="J127" s="22">
        <f t="shared" si="8"/>
        <v>500</v>
      </c>
      <c r="K127" s="22">
        <v>500</v>
      </c>
      <c r="L127" s="24">
        <f t="shared" si="5"/>
        <v>0</v>
      </c>
      <c r="M127" s="25"/>
      <c r="N127" s="26"/>
    </row>
    <row r="128" spans="2:14">
      <c r="B128" s="19" t="s">
        <v>1789</v>
      </c>
      <c r="C128" s="78" t="s">
        <v>15</v>
      </c>
      <c r="D128" s="21" t="s">
        <v>1790</v>
      </c>
      <c r="E128" s="22">
        <v>1128.67</v>
      </c>
      <c r="F128" s="21" t="s">
        <v>17</v>
      </c>
      <c r="G128" s="21" t="s">
        <v>21</v>
      </c>
      <c r="H128" s="21" t="s">
        <v>1791</v>
      </c>
      <c r="I128" s="19" t="s">
        <v>1789</v>
      </c>
      <c r="J128" s="22">
        <f t="shared" si="8"/>
        <v>1128.67</v>
      </c>
      <c r="K128" s="22">
        <v>1128.67</v>
      </c>
      <c r="L128" s="24">
        <f t="shared" si="5"/>
        <v>0</v>
      </c>
      <c r="M128" s="25"/>
      <c r="N128" s="26"/>
    </row>
    <row r="129" spans="2:14">
      <c r="B129" s="19" t="s">
        <v>1789</v>
      </c>
      <c r="C129" s="78" t="s">
        <v>15</v>
      </c>
      <c r="D129" s="21" t="s">
        <v>1792</v>
      </c>
      <c r="E129" s="22">
        <v>99.53</v>
      </c>
      <c r="F129" s="21" t="s">
        <v>29</v>
      </c>
      <c r="G129" s="21"/>
      <c r="H129" s="21"/>
      <c r="I129" s="19" t="s">
        <v>1789</v>
      </c>
      <c r="J129" s="22">
        <f t="shared" si="8"/>
        <v>99.53</v>
      </c>
      <c r="K129" s="22">
        <v>99.53</v>
      </c>
      <c r="L129" s="24">
        <f t="shared" si="5"/>
        <v>0</v>
      </c>
      <c r="M129" s="25"/>
      <c r="N129" s="26" t="s">
        <v>23</v>
      </c>
    </row>
    <row r="130" spans="2:14">
      <c r="B130" s="19" t="s">
        <v>1789</v>
      </c>
      <c r="C130" s="78" t="s">
        <v>15</v>
      </c>
      <c r="D130" s="21" t="s">
        <v>1793</v>
      </c>
      <c r="E130" s="22">
        <v>53.06</v>
      </c>
      <c r="F130" s="21" t="s">
        <v>17</v>
      </c>
      <c r="G130" s="21" t="s">
        <v>21</v>
      </c>
      <c r="H130" s="21" t="s">
        <v>1794</v>
      </c>
      <c r="I130" s="19" t="s">
        <v>1789</v>
      </c>
      <c r="J130" s="22">
        <f t="shared" si="8"/>
        <v>53.06</v>
      </c>
      <c r="K130" s="22">
        <v>53.06</v>
      </c>
      <c r="L130" s="24">
        <f t="shared" si="5"/>
        <v>0</v>
      </c>
      <c r="M130" s="25"/>
      <c r="N130" s="31"/>
    </row>
    <row r="131" spans="2:14">
      <c r="B131" s="19" t="s">
        <v>1789</v>
      </c>
      <c r="C131" s="78" t="s">
        <v>15</v>
      </c>
      <c r="D131" s="21" t="s">
        <v>1795</v>
      </c>
      <c r="E131" s="22">
        <v>375.18</v>
      </c>
      <c r="F131" s="21" t="s">
        <v>17</v>
      </c>
      <c r="G131" s="21" t="s">
        <v>21</v>
      </c>
      <c r="H131" s="21" t="s">
        <v>1796</v>
      </c>
      <c r="I131" s="19" t="s">
        <v>1789</v>
      </c>
      <c r="J131" s="22">
        <f t="shared" si="8"/>
        <v>375.18</v>
      </c>
      <c r="K131" s="22">
        <v>375.18</v>
      </c>
      <c r="L131" s="24">
        <f t="shared" si="5"/>
        <v>0</v>
      </c>
      <c r="M131" s="25"/>
      <c r="N131" s="26"/>
    </row>
    <row r="132" spans="2:14">
      <c r="B132" s="19" t="s">
        <v>1789</v>
      </c>
      <c r="C132" s="78" t="s">
        <v>15</v>
      </c>
      <c r="D132" s="21" t="s">
        <v>1797</v>
      </c>
      <c r="E132" s="22">
        <v>397.15</v>
      </c>
      <c r="F132" s="21" t="s">
        <v>17</v>
      </c>
      <c r="G132" s="21" t="s">
        <v>21</v>
      </c>
      <c r="H132" s="21" t="s">
        <v>1798</v>
      </c>
      <c r="I132" s="19" t="s">
        <v>1789</v>
      </c>
      <c r="J132" s="22">
        <f t="shared" si="8"/>
        <v>397.15</v>
      </c>
      <c r="K132" s="22">
        <v>397.15</v>
      </c>
      <c r="L132" s="24">
        <f t="shared" si="5"/>
        <v>0</v>
      </c>
      <c r="M132" s="25"/>
      <c r="N132" s="26" t="s">
        <v>39</v>
      </c>
    </row>
    <row r="133" spans="2:14">
      <c r="B133" s="19" t="s">
        <v>1789</v>
      </c>
      <c r="C133" s="78" t="s">
        <v>15</v>
      </c>
      <c r="D133" s="21" t="s">
        <v>1799</v>
      </c>
      <c r="E133" s="22">
        <v>234.08</v>
      </c>
      <c r="F133" s="21" t="s">
        <v>17</v>
      </c>
      <c r="G133" s="21" t="s">
        <v>21</v>
      </c>
      <c r="H133" s="21" t="s">
        <v>1800</v>
      </c>
      <c r="I133" s="19" t="s">
        <v>1789</v>
      </c>
      <c r="J133" s="22">
        <f t="shared" si="8"/>
        <v>234.08</v>
      </c>
      <c r="K133" s="22">
        <v>234.08</v>
      </c>
      <c r="L133" s="24">
        <f t="shared" si="5"/>
        <v>0</v>
      </c>
      <c r="M133" s="25"/>
      <c r="N133" s="26"/>
    </row>
    <row r="134" spans="2:14">
      <c r="B134" s="56" t="s">
        <v>1789</v>
      </c>
      <c r="C134" s="57" t="s">
        <v>15</v>
      </c>
      <c r="D134" s="58" t="s">
        <v>1801</v>
      </c>
      <c r="E134" s="62">
        <v>377.68</v>
      </c>
      <c r="F134" s="58" t="s">
        <v>17</v>
      </c>
      <c r="G134" s="58" t="s">
        <v>21</v>
      </c>
      <c r="H134" s="58" t="s">
        <v>1802</v>
      </c>
      <c r="I134" s="56" t="s">
        <v>1789</v>
      </c>
      <c r="J134" s="62">
        <f t="shared" si="8"/>
        <v>377.68</v>
      </c>
      <c r="K134" s="62">
        <v>377.68</v>
      </c>
      <c r="L134" s="24">
        <f t="shared" si="5"/>
        <v>0</v>
      </c>
      <c r="M134" s="25"/>
      <c r="N134" s="26" t="s">
        <v>56</v>
      </c>
    </row>
    <row r="135" spans="2:14">
      <c r="B135" s="19" t="s">
        <v>1803</v>
      </c>
      <c r="C135" s="78" t="s">
        <v>15</v>
      </c>
      <c r="D135" s="21" t="s">
        <v>1804</v>
      </c>
      <c r="E135" s="22">
        <v>84.15</v>
      </c>
      <c r="F135" s="21" t="s">
        <v>17</v>
      </c>
      <c r="G135" s="21" t="s">
        <v>21</v>
      </c>
      <c r="H135" s="21" t="s">
        <v>1805</v>
      </c>
      <c r="I135" s="19" t="s">
        <v>1803</v>
      </c>
      <c r="J135" s="22">
        <f t="shared" si="8"/>
        <v>84.15</v>
      </c>
      <c r="K135" s="22">
        <v>84.15</v>
      </c>
      <c r="L135" s="24">
        <f t="shared" si="5"/>
        <v>0</v>
      </c>
      <c r="M135" s="25"/>
      <c r="N135" s="26"/>
    </row>
    <row r="136" spans="2:14">
      <c r="B136" s="19" t="s">
        <v>1803</v>
      </c>
      <c r="C136" s="78" t="s">
        <v>15</v>
      </c>
      <c r="D136" s="21" t="s">
        <v>1806</v>
      </c>
      <c r="E136" s="22">
        <v>101.49</v>
      </c>
      <c r="F136" s="21" t="s">
        <v>29</v>
      </c>
      <c r="G136" s="21"/>
      <c r="H136" s="21" t="s">
        <v>1807</v>
      </c>
      <c r="I136" s="19" t="s">
        <v>1808</v>
      </c>
      <c r="J136" s="22">
        <f t="shared" si="8"/>
        <v>101.49</v>
      </c>
      <c r="K136" s="22">
        <v>101.49</v>
      </c>
      <c r="L136" s="24">
        <f t="shared" si="5"/>
        <v>0</v>
      </c>
      <c r="M136" s="25"/>
      <c r="N136" s="26"/>
    </row>
    <row r="137" spans="2:14">
      <c r="B137" s="19" t="s">
        <v>1803</v>
      </c>
      <c r="C137" s="78" t="s">
        <v>15</v>
      </c>
      <c r="D137" s="21" t="s">
        <v>1809</v>
      </c>
      <c r="E137" s="22">
        <v>339.89</v>
      </c>
      <c r="F137" s="21" t="s">
        <v>29</v>
      </c>
      <c r="G137" s="21"/>
      <c r="H137" s="21" t="s">
        <v>1810</v>
      </c>
      <c r="I137" s="19" t="s">
        <v>1803</v>
      </c>
      <c r="J137" s="22">
        <f t="shared" si="8"/>
        <v>339.89</v>
      </c>
      <c r="K137" s="22">
        <v>339.89</v>
      </c>
      <c r="L137" s="24">
        <f t="shared" si="5"/>
        <v>0</v>
      </c>
      <c r="M137" s="25"/>
      <c r="N137" s="31"/>
    </row>
    <row r="138" spans="2:14">
      <c r="B138" s="56" t="s">
        <v>1803</v>
      </c>
      <c r="C138" s="57" t="s">
        <v>15</v>
      </c>
      <c r="D138" s="58" t="s">
        <v>1811</v>
      </c>
      <c r="E138" s="62">
        <v>414.51</v>
      </c>
      <c r="F138" s="58" t="s">
        <v>17</v>
      </c>
      <c r="G138" s="58" t="s">
        <v>21</v>
      </c>
      <c r="H138" s="58" t="s">
        <v>1812</v>
      </c>
      <c r="I138" s="56" t="s">
        <v>1803</v>
      </c>
      <c r="J138" s="62">
        <f t="shared" si="8"/>
        <v>414.51</v>
      </c>
      <c r="K138" s="62">
        <v>414.51</v>
      </c>
      <c r="L138" s="24">
        <f t="shared" ref="L138:L168" si="9">J138-K138</f>
        <v>0</v>
      </c>
      <c r="M138" s="25"/>
      <c r="N138" s="26" t="s">
        <v>56</v>
      </c>
    </row>
    <row r="139" spans="2:14">
      <c r="B139" s="56" t="s">
        <v>1803</v>
      </c>
      <c r="C139" s="57" t="s">
        <v>15</v>
      </c>
      <c r="D139" s="58" t="s">
        <v>1813</v>
      </c>
      <c r="E139" s="62">
        <v>526.28</v>
      </c>
      <c r="F139" s="58" t="s">
        <v>17</v>
      </c>
      <c r="G139" s="58" t="s">
        <v>18</v>
      </c>
      <c r="H139" s="58" t="s">
        <v>1814</v>
      </c>
      <c r="I139" s="56" t="s">
        <v>1803</v>
      </c>
      <c r="J139" s="62">
        <f t="shared" si="8"/>
        <v>526.28</v>
      </c>
      <c r="K139" s="62">
        <v>526.28</v>
      </c>
      <c r="L139" s="24">
        <f t="shared" si="9"/>
        <v>0</v>
      </c>
      <c r="M139" s="25"/>
      <c r="N139" s="26" t="s">
        <v>56</v>
      </c>
    </row>
    <row r="140" spans="2:14">
      <c r="B140" s="19" t="s">
        <v>1808</v>
      </c>
      <c r="C140" s="78" t="s">
        <v>15</v>
      </c>
      <c r="D140" s="21" t="s">
        <v>1815</v>
      </c>
      <c r="E140" s="22">
        <v>719.78</v>
      </c>
      <c r="F140" s="21" t="s">
        <v>17</v>
      </c>
      <c r="G140" s="21" t="s">
        <v>18</v>
      </c>
      <c r="H140" s="21" t="s">
        <v>1816</v>
      </c>
      <c r="I140" s="19" t="s">
        <v>1808</v>
      </c>
      <c r="J140" s="22">
        <f t="shared" si="8"/>
        <v>719.78</v>
      </c>
      <c r="K140" s="22">
        <v>719.78</v>
      </c>
      <c r="L140" s="24">
        <f t="shared" si="9"/>
        <v>0</v>
      </c>
      <c r="M140" s="25"/>
      <c r="N140" s="26"/>
    </row>
    <row r="141" spans="2:14">
      <c r="B141" s="19" t="s">
        <v>1808</v>
      </c>
      <c r="C141" s="78" t="s">
        <v>15</v>
      </c>
      <c r="D141" s="21" t="s">
        <v>1817</v>
      </c>
      <c r="E141" s="22">
        <v>297.69</v>
      </c>
      <c r="F141" s="21" t="s">
        <v>29</v>
      </c>
      <c r="G141" s="21"/>
      <c r="H141" s="21" t="s">
        <v>1807</v>
      </c>
      <c r="I141" s="19" t="s">
        <v>1808</v>
      </c>
      <c r="J141" s="22">
        <f t="shared" si="8"/>
        <v>297.69</v>
      </c>
      <c r="K141" s="22">
        <v>297.69</v>
      </c>
      <c r="L141" s="24">
        <f t="shared" si="9"/>
        <v>0</v>
      </c>
      <c r="M141" s="25"/>
      <c r="N141" s="26"/>
    </row>
    <row r="142" spans="2:14">
      <c r="B142" s="19" t="s">
        <v>1808</v>
      </c>
      <c r="C142" s="78" t="s">
        <v>15</v>
      </c>
      <c r="D142" s="21" t="s">
        <v>1818</v>
      </c>
      <c r="E142" s="22">
        <v>205.22</v>
      </c>
      <c r="F142" s="21" t="s">
        <v>17</v>
      </c>
      <c r="G142" s="21" t="s">
        <v>21</v>
      </c>
      <c r="H142" s="21" t="s">
        <v>1819</v>
      </c>
      <c r="I142" s="19" t="s">
        <v>1808</v>
      </c>
      <c r="J142" s="22">
        <f t="shared" si="8"/>
        <v>205.22</v>
      </c>
      <c r="K142" s="22">
        <v>205.22</v>
      </c>
      <c r="L142" s="24">
        <f t="shared" si="9"/>
        <v>0</v>
      </c>
      <c r="M142" s="25"/>
      <c r="N142" s="26"/>
    </row>
    <row r="143" spans="2:14">
      <c r="B143" s="19" t="s">
        <v>1808</v>
      </c>
      <c r="C143" s="78" t="s">
        <v>15</v>
      </c>
      <c r="D143" s="21" t="s">
        <v>1820</v>
      </c>
      <c r="E143" s="22">
        <v>1326.04</v>
      </c>
      <c r="F143" s="21" t="s">
        <v>17</v>
      </c>
      <c r="G143" s="21" t="s">
        <v>21</v>
      </c>
      <c r="H143" s="21" t="s">
        <v>1821</v>
      </c>
      <c r="I143" s="19" t="s">
        <v>1808</v>
      </c>
      <c r="J143" s="22">
        <f t="shared" si="8"/>
        <v>1326.04</v>
      </c>
      <c r="K143" s="22">
        <v>1326.04</v>
      </c>
      <c r="L143" s="24">
        <f t="shared" si="9"/>
        <v>0</v>
      </c>
      <c r="M143" s="25"/>
      <c r="N143" s="26" t="s">
        <v>56</v>
      </c>
    </row>
    <row r="144" spans="2:14">
      <c r="B144" s="19" t="s">
        <v>1822</v>
      </c>
      <c r="C144" s="78" t="s">
        <v>15</v>
      </c>
      <c r="D144" s="21" t="s">
        <v>1823</v>
      </c>
      <c r="E144" s="22">
        <v>249.82</v>
      </c>
      <c r="F144" s="21" t="s">
        <v>29</v>
      </c>
      <c r="G144" s="21"/>
      <c r="H144" s="21" t="s">
        <v>1824</v>
      </c>
      <c r="I144" s="19" t="s">
        <v>1822</v>
      </c>
      <c r="J144" s="22">
        <f t="shared" si="8"/>
        <v>249.82</v>
      </c>
      <c r="K144" s="22">
        <v>249.82</v>
      </c>
      <c r="L144" s="24">
        <f t="shared" si="9"/>
        <v>0</v>
      </c>
      <c r="M144" s="25"/>
      <c r="N144" s="26"/>
    </row>
    <row r="145" spans="1:14">
      <c r="B145" s="19" t="s">
        <v>1822</v>
      </c>
      <c r="C145" s="78" t="s">
        <v>15</v>
      </c>
      <c r="D145" s="21" t="s">
        <v>1825</v>
      </c>
      <c r="E145" s="22">
        <v>185.34</v>
      </c>
      <c r="F145" s="21" t="s">
        <v>17</v>
      </c>
      <c r="G145" s="21" t="s">
        <v>21</v>
      </c>
      <c r="H145" s="21" t="s">
        <v>1826</v>
      </c>
      <c r="I145" s="19" t="s">
        <v>1822</v>
      </c>
      <c r="J145" s="22">
        <f t="shared" si="8"/>
        <v>185.34</v>
      </c>
      <c r="K145" s="22">
        <v>185.34</v>
      </c>
      <c r="L145" s="24">
        <f t="shared" si="9"/>
        <v>0</v>
      </c>
      <c r="M145" s="25"/>
      <c r="N145" s="26"/>
    </row>
    <row r="146" spans="1:14">
      <c r="B146" s="19" t="s">
        <v>1822</v>
      </c>
      <c r="C146" s="78" t="s">
        <v>15</v>
      </c>
      <c r="D146" s="21" t="s">
        <v>1827</v>
      </c>
      <c r="E146" s="22">
        <v>125.71</v>
      </c>
      <c r="F146" s="21" t="s">
        <v>17</v>
      </c>
      <c r="G146" s="21" t="s">
        <v>21</v>
      </c>
      <c r="H146" s="21" t="s">
        <v>1828</v>
      </c>
      <c r="I146" s="19" t="s">
        <v>1822</v>
      </c>
      <c r="J146" s="22">
        <f t="shared" si="8"/>
        <v>125.71</v>
      </c>
      <c r="K146" s="22">
        <v>125.71</v>
      </c>
      <c r="L146" s="24">
        <f t="shared" si="9"/>
        <v>0</v>
      </c>
      <c r="M146" s="25"/>
      <c r="N146" s="26"/>
    </row>
    <row r="147" spans="1:14">
      <c r="B147" s="19" t="s">
        <v>1822</v>
      </c>
      <c r="C147" s="78" t="s">
        <v>15</v>
      </c>
      <c r="D147" s="21" t="s">
        <v>1829</v>
      </c>
      <c r="E147" s="22">
        <v>314.37</v>
      </c>
      <c r="F147" s="21" t="s">
        <v>29</v>
      </c>
      <c r="G147" s="21"/>
      <c r="H147" s="21" t="s">
        <v>1830</v>
      </c>
      <c r="I147" s="19" t="s">
        <v>1822</v>
      </c>
      <c r="J147" s="22">
        <f t="shared" si="8"/>
        <v>314.37</v>
      </c>
      <c r="K147" s="22">
        <v>314.37</v>
      </c>
      <c r="L147" s="24">
        <f t="shared" si="9"/>
        <v>0</v>
      </c>
      <c r="M147" s="25"/>
      <c r="N147" s="26"/>
    </row>
    <row r="148" spans="1:14">
      <c r="B148" s="72" t="s">
        <v>1822</v>
      </c>
      <c r="C148" s="73" t="s">
        <v>15</v>
      </c>
      <c r="D148" s="74" t="s">
        <v>1831</v>
      </c>
      <c r="E148" s="75">
        <v>137.34</v>
      </c>
      <c r="F148" s="74" t="s">
        <v>17</v>
      </c>
      <c r="G148" s="74" t="s">
        <v>37</v>
      </c>
      <c r="H148" s="74" t="s">
        <v>1832</v>
      </c>
      <c r="I148" s="72" t="s">
        <v>1822</v>
      </c>
      <c r="J148" s="75">
        <f t="shared" si="8"/>
        <v>137.34</v>
      </c>
      <c r="K148" s="75">
        <v>137.34</v>
      </c>
      <c r="L148" s="24">
        <f t="shared" si="9"/>
        <v>0</v>
      </c>
      <c r="M148" s="25"/>
      <c r="N148" s="26" t="s">
        <v>60</v>
      </c>
    </row>
    <row r="149" spans="1:14">
      <c r="B149" s="72" t="s">
        <v>1822</v>
      </c>
      <c r="C149" s="73" t="s">
        <v>15</v>
      </c>
      <c r="D149" s="74" t="s">
        <v>1833</v>
      </c>
      <c r="E149" s="75">
        <v>39.5</v>
      </c>
      <c r="F149" s="74" t="s">
        <v>29</v>
      </c>
      <c r="G149" s="74"/>
      <c r="H149" s="74" t="s">
        <v>1834</v>
      </c>
      <c r="I149" s="72" t="s">
        <v>1822</v>
      </c>
      <c r="J149" s="75">
        <f t="shared" si="8"/>
        <v>39.5</v>
      </c>
      <c r="K149" s="75">
        <v>39.5</v>
      </c>
      <c r="L149" s="24">
        <f t="shared" si="9"/>
        <v>0</v>
      </c>
      <c r="M149" s="25"/>
      <c r="N149" s="26" t="s">
        <v>602</v>
      </c>
    </row>
    <row r="150" spans="1:14">
      <c r="B150" s="19" t="s">
        <v>1822</v>
      </c>
      <c r="C150" s="78" t="s">
        <v>15</v>
      </c>
      <c r="D150" s="21" t="s">
        <v>1835</v>
      </c>
      <c r="E150" s="22">
        <v>31.49</v>
      </c>
      <c r="F150" s="21" t="s">
        <v>17</v>
      </c>
      <c r="G150" s="21" t="s">
        <v>21</v>
      </c>
      <c r="H150" s="21" t="s">
        <v>1836</v>
      </c>
      <c r="I150" s="19" t="s">
        <v>1822</v>
      </c>
      <c r="J150" s="22">
        <f t="shared" si="8"/>
        <v>31.49</v>
      </c>
      <c r="K150" s="22">
        <v>31.49</v>
      </c>
      <c r="L150" s="24">
        <f t="shared" si="9"/>
        <v>0</v>
      </c>
      <c r="M150" s="25"/>
      <c r="N150" s="26"/>
    </row>
    <row r="151" spans="1:14">
      <c r="B151" s="19" t="s">
        <v>1822</v>
      </c>
      <c r="C151" s="78" t="s">
        <v>15</v>
      </c>
      <c r="D151" s="21" t="s">
        <v>1837</v>
      </c>
      <c r="E151" s="22">
        <v>398.8</v>
      </c>
      <c r="F151" s="21" t="s">
        <v>17</v>
      </c>
      <c r="G151" s="21" t="s">
        <v>21</v>
      </c>
      <c r="H151" s="21" t="s">
        <v>1838</v>
      </c>
      <c r="I151" s="19" t="s">
        <v>1822</v>
      </c>
      <c r="J151" s="22">
        <f t="shared" si="8"/>
        <v>398.8</v>
      </c>
      <c r="K151" s="22">
        <v>398.8</v>
      </c>
      <c r="L151" s="24">
        <f t="shared" si="9"/>
        <v>0</v>
      </c>
      <c r="M151" s="25"/>
      <c r="N151" s="31"/>
    </row>
    <row r="152" spans="1:14">
      <c r="B152" s="72" t="s">
        <v>1822</v>
      </c>
      <c r="C152" s="73" t="s">
        <v>15</v>
      </c>
      <c r="D152" s="74" t="s">
        <v>1839</v>
      </c>
      <c r="E152" s="75">
        <v>2507.31</v>
      </c>
      <c r="F152" s="74" t="s">
        <v>1840</v>
      </c>
      <c r="G152" s="74"/>
      <c r="H152" s="74"/>
      <c r="I152" s="72" t="s">
        <v>1822</v>
      </c>
      <c r="J152" s="75">
        <f t="shared" si="8"/>
        <v>2507.31</v>
      </c>
      <c r="K152" s="75">
        <v>2507.31</v>
      </c>
      <c r="L152" s="24">
        <f t="shared" si="9"/>
        <v>0</v>
      </c>
      <c r="M152" s="25"/>
      <c r="N152" s="26" t="s">
        <v>33</v>
      </c>
    </row>
    <row r="153" spans="1:14">
      <c r="A153" s="32"/>
      <c r="B153" s="19" t="s">
        <v>1822</v>
      </c>
      <c r="C153" s="20" t="s">
        <v>64</v>
      </c>
      <c r="D153" s="21" t="s">
        <v>1841</v>
      </c>
      <c r="E153" s="22">
        <v>187.59</v>
      </c>
      <c r="F153" s="21" t="s">
        <v>17</v>
      </c>
      <c r="G153" s="21" t="s">
        <v>21</v>
      </c>
      <c r="H153" s="21" t="s">
        <v>1842</v>
      </c>
      <c r="I153" s="19" t="s">
        <v>1822</v>
      </c>
      <c r="J153" s="22">
        <f t="shared" si="8"/>
        <v>187.59</v>
      </c>
      <c r="K153" s="22">
        <v>187.59</v>
      </c>
      <c r="L153" s="24">
        <f t="shared" si="9"/>
        <v>0</v>
      </c>
      <c r="M153" s="25"/>
      <c r="N153" s="26"/>
    </row>
    <row r="154" spans="1:14">
      <c r="A154" s="33"/>
      <c r="B154" s="56" t="s">
        <v>1822</v>
      </c>
      <c r="C154" s="57" t="s">
        <v>15</v>
      </c>
      <c r="D154" s="58" t="s">
        <v>1843</v>
      </c>
      <c r="E154" s="62">
        <v>467.81</v>
      </c>
      <c r="F154" s="58" t="s">
        <v>17</v>
      </c>
      <c r="G154" s="58" t="s">
        <v>37</v>
      </c>
      <c r="H154" s="58" t="s">
        <v>1844</v>
      </c>
      <c r="I154" s="56" t="s">
        <v>1822</v>
      </c>
      <c r="J154" s="62">
        <f t="shared" si="8"/>
        <v>467.81</v>
      </c>
      <c r="K154" s="62">
        <v>467.81</v>
      </c>
      <c r="L154" s="24">
        <f t="shared" si="9"/>
        <v>0</v>
      </c>
      <c r="M154" s="25"/>
      <c r="N154" s="26" t="s">
        <v>56</v>
      </c>
    </row>
    <row r="155" spans="1:14">
      <c r="B155" s="34" t="s">
        <v>1845</v>
      </c>
      <c r="C155" s="78" t="s">
        <v>15</v>
      </c>
      <c r="D155" s="21" t="s">
        <v>1846</v>
      </c>
      <c r="E155" s="22">
        <v>112.34</v>
      </c>
      <c r="F155" s="21" t="s">
        <v>17</v>
      </c>
      <c r="G155" s="21" t="s">
        <v>18</v>
      </c>
      <c r="H155" s="21" t="s">
        <v>1847</v>
      </c>
      <c r="I155" s="34" t="s">
        <v>1845</v>
      </c>
      <c r="J155" s="22">
        <f t="shared" si="8"/>
        <v>112.34</v>
      </c>
      <c r="K155" s="22">
        <v>112.34</v>
      </c>
      <c r="L155" s="24">
        <f t="shared" si="9"/>
        <v>0</v>
      </c>
      <c r="M155" s="25"/>
      <c r="N155" s="26"/>
    </row>
    <row r="156" spans="1:14">
      <c r="B156" s="34" t="s">
        <v>1845</v>
      </c>
      <c r="C156" s="78" t="s">
        <v>15</v>
      </c>
      <c r="D156" s="21" t="s">
        <v>1848</v>
      </c>
      <c r="E156" s="22">
        <v>275.53</v>
      </c>
      <c r="F156" s="21" t="s">
        <v>17</v>
      </c>
      <c r="G156" s="21" t="s">
        <v>21</v>
      </c>
      <c r="H156" s="21" t="s">
        <v>1849</v>
      </c>
      <c r="I156" s="34" t="s">
        <v>1845</v>
      </c>
      <c r="J156" s="22">
        <f t="shared" si="8"/>
        <v>275.53</v>
      </c>
      <c r="K156" s="22">
        <v>275.53</v>
      </c>
      <c r="L156" s="24">
        <f t="shared" si="9"/>
        <v>0</v>
      </c>
      <c r="M156" s="25"/>
      <c r="N156" s="26"/>
    </row>
    <row r="157" spans="1:14">
      <c r="B157" s="84" t="s">
        <v>1845</v>
      </c>
      <c r="C157" s="73" t="s">
        <v>15</v>
      </c>
      <c r="D157" s="74" t="s">
        <v>1850</v>
      </c>
      <c r="E157" s="75">
        <v>56.3</v>
      </c>
      <c r="F157" s="74" t="s">
        <v>17</v>
      </c>
      <c r="G157" s="74" t="s">
        <v>21</v>
      </c>
      <c r="H157" s="74" t="s">
        <v>1851</v>
      </c>
      <c r="I157" s="84" t="s">
        <v>1845</v>
      </c>
      <c r="J157" s="75">
        <f t="shared" si="8"/>
        <v>56.3</v>
      </c>
      <c r="K157" s="75">
        <v>56.3</v>
      </c>
      <c r="L157" s="24">
        <f t="shared" si="9"/>
        <v>0</v>
      </c>
      <c r="M157" s="25"/>
      <c r="N157" s="26" t="s">
        <v>39</v>
      </c>
    </row>
    <row r="158" spans="1:14">
      <c r="B158" s="34" t="s">
        <v>1845</v>
      </c>
      <c r="C158" s="78" t="s">
        <v>64</v>
      </c>
      <c r="D158" s="21" t="s">
        <v>1852</v>
      </c>
      <c r="E158" s="22">
        <v>204.11</v>
      </c>
      <c r="F158" s="21" t="s">
        <v>29</v>
      </c>
      <c r="G158" s="21"/>
      <c r="H158" s="21" t="s">
        <v>1853</v>
      </c>
      <c r="I158" s="34" t="s">
        <v>1845</v>
      </c>
      <c r="J158" s="22">
        <f t="shared" si="8"/>
        <v>204.11</v>
      </c>
      <c r="K158" s="22">
        <v>204.11</v>
      </c>
      <c r="L158" s="24">
        <f t="shared" si="9"/>
        <v>0</v>
      </c>
      <c r="M158" s="25"/>
      <c r="N158" s="26"/>
    </row>
    <row r="159" spans="1:14">
      <c r="B159" s="34" t="s">
        <v>1854</v>
      </c>
      <c r="C159" s="78" t="s">
        <v>15</v>
      </c>
      <c r="D159" s="21" t="s">
        <v>1855</v>
      </c>
      <c r="E159" s="22">
        <v>187.59</v>
      </c>
      <c r="F159" s="21" t="s">
        <v>17</v>
      </c>
      <c r="G159" s="21" t="s">
        <v>21</v>
      </c>
      <c r="H159" s="21" t="s">
        <v>1856</v>
      </c>
      <c r="I159" s="34" t="s">
        <v>1854</v>
      </c>
      <c r="J159" s="22">
        <f t="shared" si="8"/>
        <v>187.59</v>
      </c>
      <c r="K159" s="22">
        <v>187.59</v>
      </c>
      <c r="L159" s="24">
        <f t="shared" si="9"/>
        <v>0</v>
      </c>
      <c r="M159" s="25"/>
      <c r="N159" s="26"/>
    </row>
    <row r="160" spans="1:14">
      <c r="B160" s="84" t="s">
        <v>1854</v>
      </c>
      <c r="C160" s="73" t="s">
        <v>15</v>
      </c>
      <c r="D160" s="74" t="s">
        <v>1857</v>
      </c>
      <c r="E160" s="75">
        <v>287.7</v>
      </c>
      <c r="F160" s="74" t="s">
        <v>17</v>
      </c>
      <c r="G160" s="74" t="s">
        <v>18</v>
      </c>
      <c r="H160" s="74" t="s">
        <v>1858</v>
      </c>
      <c r="I160" s="84" t="s">
        <v>1854</v>
      </c>
      <c r="J160" s="75">
        <f t="shared" si="8"/>
        <v>287.7</v>
      </c>
      <c r="K160" s="75">
        <v>287.7</v>
      </c>
      <c r="L160" s="24">
        <f t="shared" si="9"/>
        <v>0</v>
      </c>
      <c r="M160" s="25"/>
      <c r="N160" s="26" t="s">
        <v>23</v>
      </c>
    </row>
    <row r="161" spans="2:14">
      <c r="B161" s="34" t="s">
        <v>1854</v>
      </c>
      <c r="C161" s="78" t="s">
        <v>15</v>
      </c>
      <c r="D161" s="21" t="s">
        <v>1859</v>
      </c>
      <c r="E161" s="22">
        <v>133.14</v>
      </c>
      <c r="F161" s="21" t="s">
        <v>17</v>
      </c>
      <c r="G161" s="21" t="s">
        <v>18</v>
      </c>
      <c r="H161" s="21" t="s">
        <v>1860</v>
      </c>
      <c r="I161" s="34" t="s">
        <v>1854</v>
      </c>
      <c r="J161" s="22">
        <f t="shared" si="8"/>
        <v>133.14</v>
      </c>
      <c r="K161" s="22">
        <v>133.14</v>
      </c>
      <c r="L161" s="24">
        <f t="shared" si="9"/>
        <v>0</v>
      </c>
      <c r="M161" s="25"/>
      <c r="N161" s="31"/>
    </row>
    <row r="162" spans="2:14">
      <c r="B162" s="34" t="s">
        <v>1854</v>
      </c>
      <c r="C162" s="78" t="s">
        <v>15</v>
      </c>
      <c r="D162" s="21" t="s">
        <v>1861</v>
      </c>
      <c r="E162" s="22">
        <v>657.41</v>
      </c>
      <c r="F162" s="21" t="s">
        <v>17</v>
      </c>
      <c r="G162" s="21" t="s">
        <v>37</v>
      </c>
      <c r="H162" s="21" t="s">
        <v>1862</v>
      </c>
      <c r="I162" s="34" t="s">
        <v>1854</v>
      </c>
      <c r="J162" s="22">
        <f t="shared" si="8"/>
        <v>657.41</v>
      </c>
      <c r="K162" s="22">
        <v>657.41</v>
      </c>
      <c r="L162" s="24">
        <f t="shared" si="9"/>
        <v>0</v>
      </c>
      <c r="M162" s="25"/>
      <c r="N162" s="26"/>
    </row>
    <row r="163" spans="2:14">
      <c r="B163" s="34" t="s">
        <v>1854</v>
      </c>
      <c r="C163" s="78" t="s">
        <v>15</v>
      </c>
      <c r="D163" s="21" t="s">
        <v>1863</v>
      </c>
      <c r="E163" s="22">
        <v>520.07</v>
      </c>
      <c r="F163" s="21" t="s">
        <v>17</v>
      </c>
      <c r="G163" s="21" t="s">
        <v>21</v>
      </c>
      <c r="H163" s="21" t="s">
        <v>1864</v>
      </c>
      <c r="I163" s="34" t="s">
        <v>1854</v>
      </c>
      <c r="J163" s="22">
        <f t="shared" si="8"/>
        <v>520.07</v>
      </c>
      <c r="K163" s="22">
        <v>520.07</v>
      </c>
      <c r="L163" s="24">
        <f t="shared" si="9"/>
        <v>0</v>
      </c>
      <c r="M163" s="25"/>
      <c r="N163" s="31"/>
    </row>
    <row r="164" spans="2:14">
      <c r="B164" s="34" t="s">
        <v>1854</v>
      </c>
      <c r="C164" s="78" t="s">
        <v>15</v>
      </c>
      <c r="D164" s="21" t="s">
        <v>1865</v>
      </c>
      <c r="E164" s="22">
        <v>28.17</v>
      </c>
      <c r="F164" s="21" t="s">
        <v>29</v>
      </c>
      <c r="G164" s="21"/>
      <c r="H164" s="21" t="s">
        <v>1866</v>
      </c>
      <c r="I164" s="34" t="s">
        <v>1854</v>
      </c>
      <c r="J164" s="22">
        <f t="shared" si="8"/>
        <v>28.17</v>
      </c>
      <c r="K164" s="22">
        <v>28.17</v>
      </c>
      <c r="L164" s="24">
        <f t="shared" si="9"/>
        <v>0</v>
      </c>
      <c r="M164" s="25"/>
      <c r="N164" s="26"/>
    </row>
    <row r="165" spans="2:14">
      <c r="B165" s="34" t="s">
        <v>1854</v>
      </c>
      <c r="C165" s="78" t="s">
        <v>15</v>
      </c>
      <c r="D165" s="21" t="s">
        <v>1867</v>
      </c>
      <c r="E165" s="22">
        <v>90.84</v>
      </c>
      <c r="F165" s="21" t="s">
        <v>17</v>
      </c>
      <c r="G165" s="21" t="s">
        <v>21</v>
      </c>
      <c r="H165" s="21" t="s">
        <v>1868</v>
      </c>
      <c r="I165" s="34" t="s">
        <v>1854</v>
      </c>
      <c r="J165" s="22">
        <f t="shared" si="8"/>
        <v>90.84</v>
      </c>
      <c r="K165" s="22">
        <v>90.84</v>
      </c>
      <c r="L165" s="24">
        <f t="shared" si="9"/>
        <v>0</v>
      </c>
      <c r="M165" s="25"/>
      <c r="N165" s="31"/>
    </row>
    <row r="166" spans="2:14">
      <c r="B166" s="34" t="s">
        <v>1869</v>
      </c>
      <c r="C166" s="78" t="s">
        <v>15</v>
      </c>
      <c r="D166" s="21" t="s">
        <v>1870</v>
      </c>
      <c r="E166" s="22">
        <v>183.51</v>
      </c>
      <c r="F166" s="21" t="s">
        <v>17</v>
      </c>
      <c r="G166" s="21" t="s">
        <v>21</v>
      </c>
      <c r="H166" s="21" t="s">
        <v>1871</v>
      </c>
      <c r="I166" s="34" t="s">
        <v>1869</v>
      </c>
      <c r="J166" s="22">
        <f t="shared" si="8"/>
        <v>183.51</v>
      </c>
      <c r="K166" s="22">
        <v>183.51</v>
      </c>
      <c r="L166" s="24">
        <f t="shared" si="9"/>
        <v>0</v>
      </c>
      <c r="M166" s="25"/>
      <c r="N166" s="26"/>
    </row>
    <row r="167" spans="2:14">
      <c r="B167" s="34" t="s">
        <v>1869</v>
      </c>
      <c r="C167" s="78" t="s">
        <v>15</v>
      </c>
      <c r="D167" s="21" t="s">
        <v>1872</v>
      </c>
      <c r="E167" s="22">
        <v>88.87</v>
      </c>
      <c r="F167" s="21" t="s">
        <v>17</v>
      </c>
      <c r="G167" s="21" t="s">
        <v>21</v>
      </c>
      <c r="H167" s="21" t="s">
        <v>1873</v>
      </c>
      <c r="I167" s="34" t="s">
        <v>1869</v>
      </c>
      <c r="J167" s="22">
        <f t="shared" si="8"/>
        <v>88.87</v>
      </c>
      <c r="K167" s="22">
        <v>88.87</v>
      </c>
      <c r="L167" s="24">
        <f t="shared" si="9"/>
        <v>0</v>
      </c>
      <c r="M167" s="25"/>
      <c r="N167" s="26"/>
    </row>
    <row r="168" spans="2:14">
      <c r="B168" s="34" t="s">
        <v>1869</v>
      </c>
      <c r="C168" s="78" t="s">
        <v>15</v>
      </c>
      <c r="D168" s="21" t="s">
        <v>1874</v>
      </c>
      <c r="E168" s="22">
        <v>84.45</v>
      </c>
      <c r="F168" s="21" t="s">
        <v>17</v>
      </c>
      <c r="G168" s="21" t="s">
        <v>21</v>
      </c>
      <c r="H168" s="21" t="s">
        <v>1875</v>
      </c>
      <c r="I168" s="34" t="s">
        <v>1869</v>
      </c>
      <c r="J168" s="22">
        <f t="shared" si="8"/>
        <v>84.45</v>
      </c>
      <c r="K168" s="22">
        <v>84.45</v>
      </c>
      <c r="L168" s="24">
        <f t="shared" si="9"/>
        <v>0</v>
      </c>
      <c r="M168" s="25"/>
      <c r="N168" s="31"/>
    </row>
    <row r="169" spans="2:14">
      <c r="B169" s="34" t="s">
        <v>1869</v>
      </c>
      <c r="C169" s="78" t="s">
        <v>15</v>
      </c>
      <c r="D169" s="21" t="s">
        <v>1876</v>
      </c>
      <c r="E169" s="22">
        <v>444.25</v>
      </c>
      <c r="F169" s="21" t="s">
        <v>17</v>
      </c>
      <c r="G169" s="21" t="s">
        <v>21</v>
      </c>
      <c r="H169" s="21" t="s">
        <v>1877</v>
      </c>
      <c r="I169" s="34" t="s">
        <v>1869</v>
      </c>
      <c r="J169" s="22">
        <f t="shared" ref="J169:J232" si="10">E169</f>
        <v>444.25</v>
      </c>
      <c r="K169" s="22">
        <v>444.25</v>
      </c>
      <c r="L169" s="24">
        <f t="shared" ref="L169:L232" si="11">J169-K169</f>
        <v>0</v>
      </c>
      <c r="M169" s="25"/>
      <c r="N169" s="26"/>
    </row>
    <row r="170" spans="2:14">
      <c r="B170" s="85" t="s">
        <v>1869</v>
      </c>
      <c r="C170" s="57" t="s">
        <v>15</v>
      </c>
      <c r="D170" s="58" t="s">
        <v>1878</v>
      </c>
      <c r="E170" s="62">
        <v>159.52</v>
      </c>
      <c r="F170" s="58" t="s">
        <v>17</v>
      </c>
      <c r="G170" s="58" t="s">
        <v>18</v>
      </c>
      <c r="H170" s="58" t="s">
        <v>1879</v>
      </c>
      <c r="I170" s="85" t="s">
        <v>1869</v>
      </c>
      <c r="J170" s="62">
        <f t="shared" si="10"/>
        <v>159.52</v>
      </c>
      <c r="K170" s="62">
        <v>159.52</v>
      </c>
      <c r="L170" s="24">
        <f t="shared" si="11"/>
        <v>0</v>
      </c>
      <c r="M170" s="35"/>
      <c r="N170" s="26" t="s">
        <v>56</v>
      </c>
    </row>
    <row r="171" spans="2:14">
      <c r="B171" s="85" t="s">
        <v>1869</v>
      </c>
      <c r="C171" s="57" t="s">
        <v>15</v>
      </c>
      <c r="D171" s="58" t="s">
        <v>1880</v>
      </c>
      <c r="E171" s="62">
        <v>169.55</v>
      </c>
      <c r="F171" s="58" t="s">
        <v>29</v>
      </c>
      <c r="G171" s="58"/>
      <c r="H171" s="58" t="s">
        <v>1881</v>
      </c>
      <c r="I171" s="85" t="s">
        <v>1869</v>
      </c>
      <c r="J171" s="62">
        <f t="shared" si="10"/>
        <v>169.55</v>
      </c>
      <c r="K171" s="62">
        <v>169.55</v>
      </c>
      <c r="L171" s="24">
        <f t="shared" si="11"/>
        <v>0</v>
      </c>
      <c r="M171" s="25"/>
      <c r="N171" s="26" t="s">
        <v>56</v>
      </c>
    </row>
    <row r="172" spans="2:14">
      <c r="B172" s="85" t="s">
        <v>1869</v>
      </c>
      <c r="C172" s="57" t="s">
        <v>15</v>
      </c>
      <c r="D172" s="58" t="s">
        <v>1882</v>
      </c>
      <c r="E172" s="62">
        <v>111.06</v>
      </c>
      <c r="F172" s="58" t="s">
        <v>17</v>
      </c>
      <c r="G172" s="58" t="s">
        <v>21</v>
      </c>
      <c r="H172" s="58" t="s">
        <v>1883</v>
      </c>
      <c r="I172" s="85" t="s">
        <v>1869</v>
      </c>
      <c r="J172" s="62">
        <f t="shared" si="10"/>
        <v>111.06</v>
      </c>
      <c r="K172" s="62">
        <v>111.06</v>
      </c>
      <c r="L172" s="24">
        <f t="shared" si="11"/>
        <v>0</v>
      </c>
      <c r="M172" s="25"/>
      <c r="N172" s="26" t="s">
        <v>56</v>
      </c>
    </row>
    <row r="173" spans="2:14">
      <c r="B173" s="34" t="s">
        <v>1884</v>
      </c>
      <c r="C173" s="78" t="s">
        <v>15</v>
      </c>
      <c r="D173" s="21" t="s">
        <v>1885</v>
      </c>
      <c r="E173" s="22">
        <v>88.87</v>
      </c>
      <c r="F173" s="21" t="s">
        <v>17</v>
      </c>
      <c r="G173" s="21" t="s">
        <v>21</v>
      </c>
      <c r="H173" s="21" t="s">
        <v>1886</v>
      </c>
      <c r="I173" s="34" t="s">
        <v>1884</v>
      </c>
      <c r="J173" s="22">
        <f t="shared" si="10"/>
        <v>88.87</v>
      </c>
      <c r="K173" s="22">
        <v>88.87</v>
      </c>
      <c r="L173" s="24">
        <f t="shared" si="11"/>
        <v>0</v>
      </c>
      <c r="M173" s="25"/>
      <c r="N173" s="26" t="s">
        <v>23</v>
      </c>
    </row>
    <row r="174" spans="2:14">
      <c r="B174" s="34" t="s">
        <v>1884</v>
      </c>
      <c r="C174" s="78" t="s">
        <v>15</v>
      </c>
      <c r="D174" s="21" t="s">
        <v>1887</v>
      </c>
      <c r="E174" s="22">
        <v>441.74</v>
      </c>
      <c r="F174" s="21" t="s">
        <v>17</v>
      </c>
      <c r="G174" s="21" t="s">
        <v>18</v>
      </c>
      <c r="H174" s="21" t="s">
        <v>1888</v>
      </c>
      <c r="I174" s="34" t="s">
        <v>1884</v>
      </c>
      <c r="J174" s="22">
        <f t="shared" si="10"/>
        <v>441.74</v>
      </c>
      <c r="K174" s="22">
        <v>441.74</v>
      </c>
      <c r="L174" s="24">
        <f t="shared" si="11"/>
        <v>0</v>
      </c>
      <c r="M174" s="25"/>
      <c r="N174" s="31"/>
    </row>
    <row r="175" spans="2:14">
      <c r="B175" s="34" t="s">
        <v>1884</v>
      </c>
      <c r="C175" s="78" t="s">
        <v>64</v>
      </c>
      <c r="D175" s="21" t="s">
        <v>1889</v>
      </c>
      <c r="E175" s="22">
        <v>172.18</v>
      </c>
      <c r="F175" s="21" t="s">
        <v>17</v>
      </c>
      <c r="G175" s="21" t="s">
        <v>21</v>
      </c>
      <c r="H175" s="21" t="s">
        <v>1890</v>
      </c>
      <c r="I175" s="34" t="s">
        <v>1884</v>
      </c>
      <c r="J175" s="22">
        <f t="shared" si="10"/>
        <v>172.18</v>
      </c>
      <c r="K175" s="69">
        <v>202.84</v>
      </c>
      <c r="L175" s="24">
        <f t="shared" si="11"/>
        <v>-30.66</v>
      </c>
      <c r="M175" s="25" t="s">
        <v>595</v>
      </c>
      <c r="N175" s="26"/>
    </row>
    <row r="176" spans="2:14">
      <c r="B176" s="34" t="s">
        <v>1884</v>
      </c>
      <c r="C176" s="78" t="s">
        <v>64</v>
      </c>
      <c r="D176" s="21" t="s">
        <v>1891</v>
      </c>
      <c r="E176" s="22">
        <v>99.29</v>
      </c>
      <c r="F176" s="21" t="s">
        <v>17</v>
      </c>
      <c r="G176" s="21" t="s">
        <v>21</v>
      </c>
      <c r="H176" s="36" t="s">
        <v>1892</v>
      </c>
      <c r="I176" s="34" t="s">
        <v>1884</v>
      </c>
      <c r="J176" s="22">
        <f t="shared" si="10"/>
        <v>99.29</v>
      </c>
      <c r="K176" s="22">
        <v>99.29</v>
      </c>
      <c r="L176" s="24">
        <f t="shared" si="11"/>
        <v>0</v>
      </c>
      <c r="M176" s="25"/>
      <c r="N176" s="26"/>
    </row>
    <row r="177" spans="2:14">
      <c r="B177" s="85" t="s">
        <v>1884</v>
      </c>
      <c r="C177" s="57" t="s">
        <v>15</v>
      </c>
      <c r="D177" s="58" t="s">
        <v>1893</v>
      </c>
      <c r="E177" s="62">
        <v>2833.96</v>
      </c>
      <c r="F177" s="58" t="s">
        <v>17</v>
      </c>
      <c r="G177" s="58" t="s">
        <v>21</v>
      </c>
      <c r="H177" s="58" t="s">
        <v>1894</v>
      </c>
      <c r="I177" s="85" t="s">
        <v>1884</v>
      </c>
      <c r="J177" s="62">
        <f t="shared" si="10"/>
        <v>2833.96</v>
      </c>
      <c r="K177" s="62">
        <v>2833.96</v>
      </c>
      <c r="L177" s="24">
        <f t="shared" si="11"/>
        <v>0</v>
      </c>
      <c r="M177" s="25"/>
      <c r="N177" s="26" t="s">
        <v>56</v>
      </c>
    </row>
    <row r="178" spans="2:14">
      <c r="B178" s="85" t="s">
        <v>1884</v>
      </c>
      <c r="C178" s="57" t="s">
        <v>15</v>
      </c>
      <c r="D178" s="58" t="s">
        <v>1895</v>
      </c>
      <c r="E178" s="86">
        <v>159.52</v>
      </c>
      <c r="F178" s="58" t="s">
        <v>17</v>
      </c>
      <c r="G178" s="58" t="s">
        <v>18</v>
      </c>
      <c r="H178" s="58" t="s">
        <v>1896</v>
      </c>
      <c r="I178" s="85" t="s">
        <v>1884</v>
      </c>
      <c r="J178" s="62">
        <f t="shared" si="10"/>
        <v>159.52</v>
      </c>
      <c r="K178" s="86">
        <v>159.52</v>
      </c>
      <c r="L178" s="24">
        <f t="shared" si="11"/>
        <v>0</v>
      </c>
      <c r="M178" s="25"/>
      <c r="N178" s="26" t="s">
        <v>56</v>
      </c>
    </row>
    <row r="179" spans="2:14">
      <c r="B179" s="34" t="s">
        <v>1897</v>
      </c>
      <c r="C179" s="78" t="s">
        <v>15</v>
      </c>
      <c r="D179" s="21" t="s">
        <v>1898</v>
      </c>
      <c r="E179" s="37">
        <v>280.84</v>
      </c>
      <c r="F179" s="21" t="s">
        <v>29</v>
      </c>
      <c r="G179" s="21"/>
      <c r="H179" s="21" t="s">
        <v>1899</v>
      </c>
      <c r="I179" s="34" t="s">
        <v>1897</v>
      </c>
      <c r="J179" s="22">
        <f t="shared" si="10"/>
        <v>280.84</v>
      </c>
      <c r="K179" s="37">
        <v>280.84</v>
      </c>
      <c r="L179" s="24">
        <f t="shared" si="11"/>
        <v>0</v>
      </c>
      <c r="M179" s="25"/>
      <c r="N179" s="26"/>
    </row>
    <row r="180" spans="2:14">
      <c r="B180" s="34" t="s">
        <v>1897</v>
      </c>
      <c r="C180" s="78" t="s">
        <v>15</v>
      </c>
      <c r="D180" s="21" t="s">
        <v>1900</v>
      </c>
      <c r="E180" s="37">
        <v>87.66</v>
      </c>
      <c r="F180" s="21" t="s">
        <v>17</v>
      </c>
      <c r="G180" s="21" t="s">
        <v>18</v>
      </c>
      <c r="H180" s="21" t="s">
        <v>1901</v>
      </c>
      <c r="I180" s="34" t="s">
        <v>1897</v>
      </c>
      <c r="J180" s="22">
        <f t="shared" si="10"/>
        <v>87.66</v>
      </c>
      <c r="K180" s="37">
        <v>87.66</v>
      </c>
      <c r="L180" s="24">
        <f t="shared" si="11"/>
        <v>0</v>
      </c>
      <c r="M180" s="25"/>
      <c r="N180" s="26"/>
    </row>
    <row r="181" spans="2:14">
      <c r="B181" s="34" t="s">
        <v>1897</v>
      </c>
      <c r="C181" s="78" t="s">
        <v>15</v>
      </c>
      <c r="D181" s="21" t="s">
        <v>1902</v>
      </c>
      <c r="E181" s="37">
        <v>112.34</v>
      </c>
      <c r="F181" s="21" t="s">
        <v>17</v>
      </c>
      <c r="G181" s="21" t="s">
        <v>18</v>
      </c>
      <c r="H181" s="21" t="s">
        <v>1903</v>
      </c>
      <c r="I181" s="34" t="s">
        <v>1897</v>
      </c>
      <c r="J181" s="22">
        <f t="shared" si="10"/>
        <v>112.34</v>
      </c>
      <c r="K181" s="37">
        <v>112.34</v>
      </c>
      <c r="L181" s="24">
        <f t="shared" si="11"/>
        <v>0</v>
      </c>
      <c r="M181" s="25"/>
      <c r="N181" s="26"/>
    </row>
    <row r="182" spans="2:14">
      <c r="B182" s="34" t="s">
        <v>1897</v>
      </c>
      <c r="C182" s="78" t="s">
        <v>15</v>
      </c>
      <c r="D182" s="21" t="s">
        <v>1904</v>
      </c>
      <c r="E182" s="37">
        <v>707.5</v>
      </c>
      <c r="F182" s="21" t="s">
        <v>17</v>
      </c>
      <c r="G182" s="21" t="s">
        <v>21</v>
      </c>
      <c r="H182" s="21" t="s">
        <v>1905</v>
      </c>
      <c r="I182" s="34" t="s">
        <v>1897</v>
      </c>
      <c r="J182" s="22">
        <f t="shared" si="10"/>
        <v>707.5</v>
      </c>
      <c r="K182" s="37">
        <v>707.5</v>
      </c>
      <c r="L182" s="24">
        <f t="shared" si="11"/>
        <v>0</v>
      </c>
      <c r="M182" s="25"/>
      <c r="N182" s="26"/>
    </row>
    <row r="183" spans="2:14">
      <c r="B183" s="85" t="s">
        <v>1897</v>
      </c>
      <c r="C183" s="57" t="s">
        <v>15</v>
      </c>
      <c r="D183" s="58" t="s">
        <v>1906</v>
      </c>
      <c r="E183" s="86">
        <v>2495.84</v>
      </c>
      <c r="F183" s="58" t="s">
        <v>17</v>
      </c>
      <c r="G183" s="58" t="s">
        <v>21</v>
      </c>
      <c r="H183" s="58" t="s">
        <v>1907</v>
      </c>
      <c r="I183" s="85" t="s">
        <v>1897</v>
      </c>
      <c r="J183" s="62">
        <f t="shared" si="10"/>
        <v>2495.84</v>
      </c>
      <c r="K183" s="86">
        <v>2495.84</v>
      </c>
      <c r="L183" s="24">
        <f t="shared" si="11"/>
        <v>0</v>
      </c>
      <c r="M183" s="25"/>
      <c r="N183" s="26" t="s">
        <v>56</v>
      </c>
    </row>
    <row r="184" spans="2:14">
      <c r="B184" s="34"/>
      <c r="C184" s="20"/>
      <c r="D184" s="21"/>
      <c r="E184" s="37"/>
      <c r="F184" s="21"/>
      <c r="G184" s="21"/>
      <c r="H184" s="21"/>
      <c r="I184" s="34"/>
      <c r="J184" s="22">
        <f t="shared" si="10"/>
        <v>0</v>
      </c>
      <c r="K184" s="37"/>
      <c r="L184" s="24">
        <f t="shared" si="11"/>
        <v>0</v>
      </c>
      <c r="M184" s="25"/>
      <c r="N184" s="26"/>
    </row>
    <row r="185" spans="2:14">
      <c r="B185" s="34"/>
      <c r="C185" s="20"/>
      <c r="D185" s="21"/>
      <c r="E185" s="38"/>
      <c r="F185" s="21"/>
      <c r="G185" s="21"/>
      <c r="H185" s="21"/>
      <c r="I185" s="34"/>
      <c r="J185" s="22">
        <f t="shared" si="10"/>
        <v>0</v>
      </c>
      <c r="K185" s="38"/>
      <c r="L185" s="24">
        <f t="shared" si="11"/>
        <v>0</v>
      </c>
      <c r="M185" s="25"/>
      <c r="N185" s="26"/>
    </row>
    <row r="186" spans="2:14">
      <c r="B186" s="34"/>
      <c r="C186" s="20"/>
      <c r="D186" s="21"/>
      <c r="E186" s="38"/>
      <c r="F186" s="21"/>
      <c r="G186" s="21"/>
      <c r="H186" s="21"/>
      <c r="I186" s="34"/>
      <c r="J186" s="22">
        <f t="shared" si="10"/>
        <v>0</v>
      </c>
      <c r="K186" s="38"/>
      <c r="L186" s="24">
        <f t="shared" si="11"/>
        <v>0</v>
      </c>
      <c r="M186" s="25"/>
      <c r="N186" s="26"/>
    </row>
    <row r="187" spans="2:14">
      <c r="B187" s="34"/>
      <c r="C187" s="20"/>
      <c r="D187" s="21"/>
      <c r="E187" s="38"/>
      <c r="F187" s="21"/>
      <c r="G187" s="21"/>
      <c r="H187" s="21"/>
      <c r="I187" s="34"/>
      <c r="J187" s="22">
        <f t="shared" si="10"/>
        <v>0</v>
      </c>
      <c r="K187" s="38"/>
      <c r="L187" s="24">
        <f t="shared" si="11"/>
        <v>0</v>
      </c>
      <c r="M187" s="25"/>
      <c r="N187" s="26"/>
    </row>
    <row r="188" spans="2:14">
      <c r="B188" s="34"/>
      <c r="C188" s="20"/>
      <c r="D188" s="21"/>
      <c r="E188" s="38"/>
      <c r="F188" s="21"/>
      <c r="G188" s="21"/>
      <c r="H188" s="21"/>
      <c r="I188" s="34"/>
      <c r="J188" s="22">
        <f t="shared" si="10"/>
        <v>0</v>
      </c>
      <c r="K188" s="38"/>
      <c r="L188" s="24">
        <f t="shared" si="11"/>
        <v>0</v>
      </c>
      <c r="M188" s="25"/>
      <c r="N188" s="26"/>
    </row>
    <row r="189" spans="2:14">
      <c r="B189" s="34"/>
      <c r="C189" s="20"/>
      <c r="D189" s="21"/>
      <c r="E189" s="38"/>
      <c r="F189" s="21"/>
      <c r="G189" s="21"/>
      <c r="H189" s="21"/>
      <c r="I189" s="34"/>
      <c r="J189" s="22">
        <f t="shared" si="10"/>
        <v>0</v>
      </c>
      <c r="K189" s="38"/>
      <c r="L189" s="24">
        <f t="shared" si="11"/>
        <v>0</v>
      </c>
      <c r="M189" s="25"/>
      <c r="N189" s="26"/>
    </row>
    <row r="190" spans="2:14">
      <c r="B190" s="34"/>
      <c r="C190" s="20"/>
      <c r="D190" s="21"/>
      <c r="E190" s="38"/>
      <c r="F190" s="21"/>
      <c r="G190" s="21"/>
      <c r="H190" s="21"/>
      <c r="I190" s="34"/>
      <c r="J190" s="22">
        <f t="shared" si="10"/>
        <v>0</v>
      </c>
      <c r="K190" s="38"/>
      <c r="L190" s="24">
        <f t="shared" si="11"/>
        <v>0</v>
      </c>
      <c r="M190" s="25"/>
      <c r="N190" s="31"/>
    </row>
    <row r="191" spans="2:14">
      <c r="B191" s="34"/>
      <c r="C191" s="20"/>
      <c r="D191" s="21"/>
      <c r="E191" s="38"/>
      <c r="F191" s="21"/>
      <c r="G191" s="21"/>
      <c r="H191" s="21"/>
      <c r="I191" s="34"/>
      <c r="J191" s="22">
        <f t="shared" si="10"/>
        <v>0</v>
      </c>
      <c r="K191" s="38"/>
      <c r="L191" s="24">
        <f t="shared" si="11"/>
        <v>0</v>
      </c>
      <c r="M191" s="25"/>
      <c r="N191" s="26"/>
    </row>
    <row r="192" spans="2:14">
      <c r="B192" s="34"/>
      <c r="C192" s="20"/>
      <c r="D192" s="21"/>
      <c r="E192" s="38"/>
      <c r="F192" s="21"/>
      <c r="G192" s="21"/>
      <c r="H192" s="21"/>
      <c r="I192" s="34"/>
      <c r="J192" s="22">
        <f t="shared" si="10"/>
        <v>0</v>
      </c>
      <c r="K192" s="38"/>
      <c r="L192" s="24">
        <f t="shared" si="11"/>
        <v>0</v>
      </c>
      <c r="M192" s="25"/>
      <c r="N192" s="26"/>
    </row>
    <row r="193" spans="2:14">
      <c r="B193" s="34"/>
      <c r="C193" s="20"/>
      <c r="D193" s="21"/>
      <c r="E193" s="38"/>
      <c r="F193" s="21"/>
      <c r="G193" s="21"/>
      <c r="H193" s="21"/>
      <c r="I193" s="34"/>
      <c r="J193" s="22">
        <f t="shared" si="10"/>
        <v>0</v>
      </c>
      <c r="K193" s="22"/>
      <c r="L193" s="24">
        <f t="shared" si="11"/>
        <v>0</v>
      </c>
      <c r="M193" s="25"/>
      <c r="N193" s="26"/>
    </row>
    <row r="194" spans="2:14">
      <c r="B194" s="34"/>
      <c r="C194" s="20"/>
      <c r="D194" s="21"/>
      <c r="E194" s="38"/>
      <c r="F194" s="21"/>
      <c r="G194" s="21"/>
      <c r="H194" s="21"/>
      <c r="I194" s="34"/>
      <c r="J194" s="22">
        <f t="shared" si="10"/>
        <v>0</v>
      </c>
      <c r="K194" s="22"/>
      <c r="L194" s="24">
        <f t="shared" si="11"/>
        <v>0</v>
      </c>
      <c r="M194" s="25"/>
      <c r="N194" s="26"/>
    </row>
    <row r="195" spans="2:14">
      <c r="B195" s="34"/>
      <c r="C195" s="20"/>
      <c r="D195" s="21"/>
      <c r="E195" s="38"/>
      <c r="F195" s="21"/>
      <c r="G195" s="21"/>
      <c r="H195" s="21"/>
      <c r="I195" s="34"/>
      <c r="J195" s="22">
        <f t="shared" si="10"/>
        <v>0</v>
      </c>
      <c r="K195" s="22"/>
      <c r="L195" s="24">
        <f t="shared" si="11"/>
        <v>0</v>
      </c>
      <c r="M195" s="25"/>
      <c r="N195" s="26"/>
    </row>
    <row r="196" spans="2:14">
      <c r="B196" s="34"/>
      <c r="C196" s="20"/>
      <c r="D196" s="21"/>
      <c r="E196" s="38"/>
      <c r="F196" s="21"/>
      <c r="G196" s="21"/>
      <c r="H196" s="21"/>
      <c r="I196" s="34"/>
      <c r="J196" s="22">
        <f t="shared" si="10"/>
        <v>0</v>
      </c>
      <c r="K196" s="22"/>
      <c r="L196" s="24">
        <f t="shared" si="11"/>
        <v>0</v>
      </c>
      <c r="M196" s="25"/>
      <c r="N196" s="31"/>
    </row>
    <row r="197" spans="2:14">
      <c r="B197" s="34"/>
      <c r="C197" s="20"/>
      <c r="D197" s="21"/>
      <c r="E197" s="38"/>
      <c r="F197" s="21"/>
      <c r="G197" s="21"/>
      <c r="H197" s="21"/>
      <c r="I197" s="34"/>
      <c r="J197" s="22">
        <f t="shared" si="10"/>
        <v>0</v>
      </c>
      <c r="K197" s="22"/>
      <c r="L197" s="24">
        <f t="shared" si="11"/>
        <v>0</v>
      </c>
      <c r="M197" s="25"/>
      <c r="N197" s="26"/>
    </row>
    <row r="198" spans="2:14">
      <c r="B198" s="34"/>
      <c r="C198" s="20"/>
      <c r="D198" s="21"/>
      <c r="E198" s="38"/>
      <c r="F198" s="21"/>
      <c r="G198" s="21"/>
      <c r="H198" s="21"/>
      <c r="I198" s="34"/>
      <c r="J198" s="22">
        <f t="shared" si="10"/>
        <v>0</v>
      </c>
      <c r="K198" s="22"/>
      <c r="L198" s="24">
        <f t="shared" si="11"/>
        <v>0</v>
      </c>
      <c r="M198" s="25"/>
      <c r="N198" s="26"/>
    </row>
    <row r="199" spans="2:14">
      <c r="B199" s="34"/>
      <c r="C199" s="20"/>
      <c r="D199" s="21"/>
      <c r="E199" s="38"/>
      <c r="F199" s="21"/>
      <c r="G199" s="21"/>
      <c r="H199" s="21"/>
      <c r="I199" s="34"/>
      <c r="J199" s="22">
        <f t="shared" si="10"/>
        <v>0</v>
      </c>
      <c r="K199" s="22"/>
      <c r="L199" s="24">
        <f t="shared" si="11"/>
        <v>0</v>
      </c>
      <c r="M199" s="25"/>
      <c r="N199" s="26"/>
    </row>
    <row r="200" spans="2:14">
      <c r="B200" s="34"/>
      <c r="C200" s="20"/>
      <c r="D200" s="21"/>
      <c r="E200" s="38"/>
      <c r="F200" s="21"/>
      <c r="G200" s="21"/>
      <c r="H200" s="34"/>
      <c r="I200" s="34"/>
      <c r="J200" s="22">
        <f t="shared" si="10"/>
        <v>0</v>
      </c>
      <c r="K200" s="22"/>
      <c r="L200" s="24">
        <f t="shared" si="11"/>
        <v>0</v>
      </c>
      <c r="M200" s="25"/>
      <c r="N200" s="26"/>
    </row>
    <row r="201" spans="2:14">
      <c r="B201" s="34"/>
      <c r="C201" s="20"/>
      <c r="D201" s="21"/>
      <c r="E201" s="38"/>
      <c r="F201" s="21"/>
      <c r="G201" s="21"/>
      <c r="H201" s="21"/>
      <c r="I201" s="34"/>
      <c r="J201" s="22">
        <f t="shared" si="10"/>
        <v>0</v>
      </c>
      <c r="K201" s="22"/>
      <c r="L201" s="24">
        <f t="shared" si="11"/>
        <v>0</v>
      </c>
      <c r="M201" s="25"/>
      <c r="N201" s="31"/>
    </row>
    <row r="202" spans="2:14">
      <c r="B202" s="34"/>
      <c r="C202" s="20"/>
      <c r="D202" s="21"/>
      <c r="E202" s="38"/>
      <c r="F202" s="21"/>
      <c r="G202" s="21"/>
      <c r="H202" s="21"/>
      <c r="I202" s="34"/>
      <c r="J202" s="22">
        <f t="shared" si="10"/>
        <v>0</v>
      </c>
      <c r="K202" s="22"/>
      <c r="L202" s="24">
        <f t="shared" si="11"/>
        <v>0</v>
      </c>
      <c r="M202" s="25"/>
      <c r="N202" s="31"/>
    </row>
    <row r="203" spans="2:14">
      <c r="B203" s="34"/>
      <c r="C203" s="20"/>
      <c r="D203" s="21"/>
      <c r="E203" s="38"/>
      <c r="F203" s="21"/>
      <c r="G203" s="21"/>
      <c r="H203" s="21"/>
      <c r="I203" s="34"/>
      <c r="J203" s="22">
        <f t="shared" si="10"/>
        <v>0</v>
      </c>
      <c r="K203" s="22"/>
      <c r="L203" s="43">
        <f t="shared" si="11"/>
        <v>0</v>
      </c>
      <c r="M203" s="25"/>
      <c r="N203" s="26"/>
    </row>
    <row r="204" spans="2:14">
      <c r="B204" s="34"/>
      <c r="C204" s="20"/>
      <c r="D204" s="21"/>
      <c r="E204" s="38"/>
      <c r="F204" s="21"/>
      <c r="G204" s="21"/>
      <c r="H204" s="21"/>
      <c r="I204" s="34"/>
      <c r="J204" s="22">
        <f t="shared" si="10"/>
        <v>0</v>
      </c>
      <c r="K204" s="22"/>
      <c r="L204" s="43">
        <f t="shared" si="11"/>
        <v>0</v>
      </c>
      <c r="M204" s="25"/>
      <c r="N204" s="31"/>
    </row>
    <row r="205" spans="2:14">
      <c r="B205" s="34"/>
      <c r="C205" s="20"/>
      <c r="D205" s="21"/>
      <c r="E205" s="38"/>
      <c r="F205" s="21"/>
      <c r="G205" s="21"/>
      <c r="H205" s="21"/>
      <c r="I205" s="34"/>
      <c r="J205" s="22">
        <f t="shared" si="10"/>
        <v>0</v>
      </c>
      <c r="K205" s="22"/>
      <c r="L205" s="43">
        <f t="shared" si="11"/>
        <v>0</v>
      </c>
      <c r="M205" s="25"/>
      <c r="N205" s="31"/>
    </row>
    <row r="206" spans="2:14">
      <c r="B206" s="34"/>
      <c r="C206" s="20"/>
      <c r="D206" s="21"/>
      <c r="E206" s="38"/>
      <c r="F206" s="21"/>
      <c r="G206" s="21"/>
      <c r="H206" s="21"/>
      <c r="I206" s="34"/>
      <c r="J206" s="22">
        <f t="shared" si="10"/>
        <v>0</v>
      </c>
      <c r="K206" s="22"/>
      <c r="L206" s="43">
        <f t="shared" si="11"/>
        <v>0</v>
      </c>
      <c r="M206" s="25"/>
      <c r="N206" s="31"/>
    </row>
    <row r="207" spans="2:14">
      <c r="B207" s="34"/>
      <c r="C207" s="20"/>
      <c r="D207" s="21"/>
      <c r="E207" s="38"/>
      <c r="F207" s="21"/>
      <c r="G207" s="21"/>
      <c r="H207" s="21"/>
      <c r="I207" s="34"/>
      <c r="J207" s="22">
        <f t="shared" si="10"/>
        <v>0</v>
      </c>
      <c r="K207" s="22"/>
      <c r="L207" s="43">
        <f t="shared" si="11"/>
        <v>0</v>
      </c>
      <c r="M207" s="25"/>
      <c r="N207" s="31"/>
    </row>
    <row r="208" spans="2:14">
      <c r="B208" s="34"/>
      <c r="C208" s="20"/>
      <c r="D208" s="21"/>
      <c r="E208" s="38"/>
      <c r="F208" s="21"/>
      <c r="G208" s="21"/>
      <c r="H208" s="21"/>
      <c r="I208" s="34"/>
      <c r="J208" s="22">
        <f t="shared" si="10"/>
        <v>0</v>
      </c>
      <c r="K208" s="22"/>
      <c r="L208" s="43">
        <f t="shared" si="11"/>
        <v>0</v>
      </c>
      <c r="M208" s="25"/>
      <c r="N208" s="31"/>
    </row>
    <row r="209" spans="2:14">
      <c r="B209" s="34"/>
      <c r="C209" s="20"/>
      <c r="D209" s="21"/>
      <c r="E209" s="38"/>
      <c r="F209" s="21"/>
      <c r="G209" s="21"/>
      <c r="H209" s="21"/>
      <c r="I209" s="34"/>
      <c r="J209" s="22">
        <f t="shared" si="10"/>
        <v>0</v>
      </c>
      <c r="K209" s="22"/>
      <c r="L209" s="43">
        <f t="shared" si="11"/>
        <v>0</v>
      </c>
      <c r="M209" s="25"/>
      <c r="N209" s="31"/>
    </row>
    <row r="210" spans="2:14">
      <c r="B210" s="34"/>
      <c r="C210" s="20"/>
      <c r="D210" s="21"/>
      <c r="E210" s="38"/>
      <c r="F210" s="21"/>
      <c r="G210" s="21"/>
      <c r="H210" s="21"/>
      <c r="I210" s="34"/>
      <c r="J210" s="22">
        <f t="shared" si="10"/>
        <v>0</v>
      </c>
      <c r="K210" s="22"/>
      <c r="L210" s="43">
        <f t="shared" si="11"/>
        <v>0</v>
      </c>
      <c r="M210" s="25"/>
      <c r="N210" s="31"/>
    </row>
    <row r="211" spans="2:14">
      <c r="B211" s="34"/>
      <c r="C211" s="20"/>
      <c r="D211" s="21"/>
      <c r="E211" s="38"/>
      <c r="F211" s="21"/>
      <c r="G211" s="21"/>
      <c r="H211" s="21"/>
      <c r="I211" s="34"/>
      <c r="J211" s="22">
        <f t="shared" si="10"/>
        <v>0</v>
      </c>
      <c r="K211" s="22"/>
      <c r="L211" s="43">
        <f t="shared" si="11"/>
        <v>0</v>
      </c>
      <c r="M211" s="25"/>
      <c r="N211" s="31"/>
    </row>
    <row r="212" spans="2:14">
      <c r="B212" s="34"/>
      <c r="C212" s="20"/>
      <c r="D212" s="21"/>
      <c r="E212" s="38"/>
      <c r="F212" s="21"/>
      <c r="G212" s="21"/>
      <c r="H212" s="21"/>
      <c r="I212" s="34"/>
      <c r="J212" s="22">
        <f t="shared" si="10"/>
        <v>0</v>
      </c>
      <c r="K212" s="22"/>
      <c r="L212" s="43">
        <f t="shared" si="11"/>
        <v>0</v>
      </c>
      <c r="M212" s="25"/>
      <c r="N212" s="31"/>
    </row>
    <row r="213" spans="2:14">
      <c r="B213" s="34"/>
      <c r="C213" s="20"/>
      <c r="D213" s="21"/>
      <c r="E213" s="39"/>
      <c r="F213" s="40"/>
      <c r="G213" s="21"/>
      <c r="H213" s="40"/>
      <c r="I213" s="34"/>
      <c r="J213" s="22">
        <f t="shared" si="10"/>
        <v>0</v>
      </c>
      <c r="K213" s="40"/>
      <c r="L213" s="43">
        <f t="shared" si="11"/>
        <v>0</v>
      </c>
      <c r="M213" s="41"/>
      <c r="N213" s="42"/>
    </row>
    <row r="214" spans="2:14">
      <c r="B214" s="34"/>
      <c r="C214" s="20"/>
      <c r="D214" s="21"/>
      <c r="E214" s="39"/>
      <c r="F214" s="40"/>
      <c r="G214" s="21"/>
      <c r="H214" s="40"/>
      <c r="I214" s="34"/>
      <c r="J214" s="22">
        <f t="shared" si="10"/>
        <v>0</v>
      </c>
      <c r="K214" s="40"/>
      <c r="L214" s="43">
        <f t="shared" si="11"/>
        <v>0</v>
      </c>
      <c r="M214" s="41"/>
      <c r="N214" s="42"/>
    </row>
    <row r="215" spans="2:14">
      <c r="B215" s="34"/>
      <c r="C215" s="20"/>
      <c r="D215" s="40"/>
      <c r="E215" s="39"/>
      <c r="F215" s="21"/>
      <c r="G215" s="21"/>
      <c r="H215" s="40"/>
      <c r="I215" s="34"/>
      <c r="J215" s="22">
        <f t="shared" si="10"/>
        <v>0</v>
      </c>
      <c r="K215" s="40"/>
      <c r="L215" s="43">
        <f t="shared" si="11"/>
        <v>0</v>
      </c>
      <c r="M215" s="41"/>
      <c r="N215" s="42"/>
    </row>
    <row r="216" spans="2:14">
      <c r="B216" s="34"/>
      <c r="C216" s="20"/>
      <c r="D216" s="21"/>
      <c r="E216" s="38"/>
      <c r="F216" s="21"/>
      <c r="G216" s="21"/>
      <c r="H216" s="21"/>
      <c r="I216" s="34"/>
      <c r="J216" s="22">
        <f t="shared" si="10"/>
        <v>0</v>
      </c>
      <c r="K216" s="22"/>
      <c r="L216" s="43">
        <f t="shared" si="11"/>
        <v>0</v>
      </c>
      <c r="M216" s="25"/>
      <c r="N216" s="31"/>
    </row>
    <row r="217" spans="2:14">
      <c r="B217" s="34"/>
      <c r="C217" s="20"/>
      <c r="D217" s="21"/>
      <c r="E217" s="38"/>
      <c r="F217" s="21"/>
      <c r="G217" s="21"/>
      <c r="H217" s="21"/>
      <c r="I217" s="34"/>
      <c r="J217" s="22">
        <f t="shared" si="10"/>
        <v>0</v>
      </c>
      <c r="K217" s="22"/>
      <c r="L217" s="43">
        <f t="shared" si="11"/>
        <v>0</v>
      </c>
      <c r="M217" s="25"/>
      <c r="N217" s="31"/>
    </row>
    <row r="218" spans="2:14">
      <c r="B218" s="34"/>
      <c r="C218" s="20"/>
      <c r="D218" s="21"/>
      <c r="E218" s="38"/>
      <c r="F218" s="21"/>
      <c r="G218" s="21"/>
      <c r="H218" s="21"/>
      <c r="I218" s="34"/>
      <c r="J218" s="22">
        <f t="shared" si="10"/>
        <v>0</v>
      </c>
      <c r="K218" s="22"/>
      <c r="L218" s="43">
        <f t="shared" si="11"/>
        <v>0</v>
      </c>
      <c r="M218" s="25"/>
      <c r="N218" s="31"/>
    </row>
    <row r="219" spans="2:14">
      <c r="B219" s="34"/>
      <c r="C219" s="20"/>
      <c r="D219" s="21"/>
      <c r="E219" s="38"/>
      <c r="F219" s="21"/>
      <c r="G219" s="21"/>
      <c r="H219" s="21"/>
      <c r="I219" s="34"/>
      <c r="J219" s="22">
        <f t="shared" si="10"/>
        <v>0</v>
      </c>
      <c r="K219" s="22"/>
      <c r="L219" s="43">
        <f t="shared" si="11"/>
        <v>0</v>
      </c>
      <c r="M219" s="25"/>
      <c r="N219" s="24"/>
    </row>
    <row r="220" spans="2:14">
      <c r="B220" s="34"/>
      <c r="C220" s="20"/>
      <c r="D220" s="21"/>
      <c r="E220" s="38"/>
      <c r="F220" s="21"/>
      <c r="G220" s="21"/>
      <c r="H220" s="21"/>
      <c r="I220" s="34"/>
      <c r="J220" s="22">
        <f t="shared" si="10"/>
        <v>0</v>
      </c>
      <c r="K220" s="22"/>
      <c r="L220" s="43">
        <f t="shared" si="11"/>
        <v>0</v>
      </c>
      <c r="M220" s="25"/>
      <c r="N220" s="42"/>
    </row>
    <row r="221" spans="2:14">
      <c r="B221" s="34"/>
      <c r="C221" s="20"/>
      <c r="D221" s="21"/>
      <c r="E221" s="38"/>
      <c r="F221" s="21"/>
      <c r="G221" s="21"/>
      <c r="H221" s="21"/>
      <c r="I221" s="34"/>
      <c r="J221" s="22">
        <f t="shared" si="10"/>
        <v>0</v>
      </c>
      <c r="K221" s="22"/>
      <c r="L221" s="43">
        <f t="shared" si="11"/>
        <v>0</v>
      </c>
      <c r="M221" s="25"/>
      <c r="N221" s="42"/>
    </row>
    <row r="222" spans="2:14">
      <c r="B222" s="34"/>
      <c r="C222" s="20"/>
      <c r="D222" s="21"/>
      <c r="E222" s="38"/>
      <c r="F222" s="21"/>
      <c r="G222" s="21"/>
      <c r="H222" s="21"/>
      <c r="I222" s="34"/>
      <c r="J222" s="22">
        <f t="shared" si="10"/>
        <v>0</v>
      </c>
      <c r="K222" s="22"/>
      <c r="L222" s="43">
        <f t="shared" si="11"/>
        <v>0</v>
      </c>
      <c r="M222" s="25"/>
      <c r="N222" s="31"/>
    </row>
    <row r="223" spans="2:14">
      <c r="B223" s="34"/>
      <c r="C223" s="20"/>
      <c r="D223" s="21"/>
      <c r="E223" s="38"/>
      <c r="F223" s="21"/>
      <c r="G223" s="21"/>
      <c r="H223" s="21"/>
      <c r="I223" s="34"/>
      <c r="J223" s="22">
        <f t="shared" si="10"/>
        <v>0</v>
      </c>
      <c r="K223" s="22"/>
      <c r="L223" s="43">
        <f t="shared" si="11"/>
        <v>0</v>
      </c>
      <c r="M223" s="25"/>
      <c r="N223" s="31"/>
    </row>
    <row r="224" spans="2:14">
      <c r="B224" s="34"/>
      <c r="C224" s="20"/>
      <c r="D224" s="21"/>
      <c r="E224" s="38"/>
      <c r="F224" s="21"/>
      <c r="G224" s="21"/>
      <c r="H224" s="21"/>
      <c r="I224" s="21"/>
      <c r="J224" s="22">
        <f t="shared" si="10"/>
        <v>0</v>
      </c>
      <c r="K224" s="22"/>
      <c r="L224" s="43">
        <f t="shared" si="11"/>
        <v>0</v>
      </c>
      <c r="M224" s="25"/>
      <c r="N224" s="31"/>
    </row>
    <row r="225" spans="2:14">
      <c r="B225" s="34"/>
      <c r="C225" s="20"/>
      <c r="D225" s="21"/>
      <c r="E225" s="38"/>
      <c r="F225" s="21"/>
      <c r="G225" s="21"/>
      <c r="H225" s="21"/>
      <c r="I225" s="21"/>
      <c r="J225" s="22">
        <f t="shared" si="10"/>
        <v>0</v>
      </c>
      <c r="K225" s="22"/>
      <c r="L225" s="43">
        <f t="shared" si="11"/>
        <v>0</v>
      </c>
      <c r="M225" s="25"/>
      <c r="N225" s="24"/>
    </row>
    <row r="226" spans="2:14">
      <c r="B226" s="34"/>
      <c r="C226" s="20"/>
      <c r="D226" s="21"/>
      <c r="E226" s="38"/>
      <c r="F226" s="21"/>
      <c r="G226" s="21"/>
      <c r="H226" s="21"/>
      <c r="I226" s="21"/>
      <c r="J226" s="22">
        <f t="shared" si="10"/>
        <v>0</v>
      </c>
      <c r="K226" s="22"/>
      <c r="L226" s="43">
        <f t="shared" si="11"/>
        <v>0</v>
      </c>
      <c r="M226" s="25"/>
      <c r="N226" s="24"/>
    </row>
    <row r="227" spans="2:14">
      <c r="B227" s="34"/>
      <c r="C227" s="20"/>
      <c r="D227" s="21"/>
      <c r="E227" s="38"/>
      <c r="F227" s="21"/>
      <c r="G227" s="21"/>
      <c r="H227" s="21"/>
      <c r="I227" s="21"/>
      <c r="J227" s="22">
        <f t="shared" si="10"/>
        <v>0</v>
      </c>
      <c r="K227" s="22"/>
      <c r="L227" s="43">
        <f t="shared" si="11"/>
        <v>0</v>
      </c>
      <c r="M227" s="25"/>
      <c r="N227" s="24"/>
    </row>
    <row r="228" spans="2:14">
      <c r="B228" s="34"/>
      <c r="C228" s="20"/>
      <c r="D228" s="21"/>
      <c r="E228" s="38"/>
      <c r="F228" s="21"/>
      <c r="G228" s="21"/>
      <c r="H228" s="21"/>
      <c r="I228" s="21"/>
      <c r="J228" s="22">
        <f t="shared" si="10"/>
        <v>0</v>
      </c>
      <c r="K228" s="22"/>
      <c r="L228" s="43">
        <f t="shared" si="11"/>
        <v>0</v>
      </c>
      <c r="M228" s="25"/>
      <c r="N228" s="31"/>
    </row>
    <row r="229" spans="2:14">
      <c r="B229" s="34"/>
      <c r="C229" s="20"/>
      <c r="D229" s="21"/>
      <c r="E229" s="38"/>
      <c r="F229" s="21"/>
      <c r="G229" s="21"/>
      <c r="H229" s="21"/>
      <c r="I229" s="21"/>
      <c r="J229" s="22">
        <f t="shared" si="10"/>
        <v>0</v>
      </c>
      <c r="K229" s="22"/>
      <c r="L229" s="43">
        <f t="shared" si="11"/>
        <v>0</v>
      </c>
      <c r="M229" s="25"/>
      <c r="N229" s="24"/>
    </row>
    <row r="230" spans="2:14">
      <c r="B230" s="34"/>
      <c r="C230" s="20"/>
      <c r="D230" s="21"/>
      <c r="E230" s="38"/>
      <c r="F230" s="21"/>
      <c r="G230" s="21"/>
      <c r="H230" s="21"/>
      <c r="I230" s="21"/>
      <c r="J230" s="22">
        <f t="shared" si="10"/>
        <v>0</v>
      </c>
      <c r="K230" s="22"/>
      <c r="L230" s="43">
        <f t="shared" si="11"/>
        <v>0</v>
      </c>
      <c r="M230" s="25"/>
      <c r="N230" s="24"/>
    </row>
    <row r="231" spans="2:14">
      <c r="B231" s="34"/>
      <c r="C231" s="20"/>
      <c r="D231" s="21"/>
      <c r="E231" s="38"/>
      <c r="F231" s="21"/>
      <c r="G231" s="21"/>
      <c r="H231" s="21"/>
      <c r="I231" s="21"/>
      <c r="J231" s="22">
        <f t="shared" si="10"/>
        <v>0</v>
      </c>
      <c r="K231" s="22"/>
      <c r="L231" s="43">
        <f t="shared" si="11"/>
        <v>0</v>
      </c>
      <c r="M231" s="25"/>
      <c r="N231" s="24"/>
    </row>
    <row r="232" spans="2:14">
      <c r="B232" s="34"/>
      <c r="C232" s="20"/>
      <c r="D232" s="21"/>
      <c r="E232" s="38"/>
      <c r="F232" s="21"/>
      <c r="G232" s="21"/>
      <c r="H232" s="21"/>
      <c r="I232" s="21"/>
      <c r="J232" s="22">
        <f t="shared" si="10"/>
        <v>0</v>
      </c>
      <c r="K232" s="22"/>
      <c r="L232" s="43">
        <f t="shared" si="11"/>
        <v>0</v>
      </c>
      <c r="M232" s="25"/>
      <c r="N232" s="24"/>
    </row>
    <row r="233" spans="2:14">
      <c r="B233" s="34"/>
      <c r="C233" s="20"/>
      <c r="D233" s="21"/>
      <c r="E233" s="38"/>
      <c r="F233" s="21"/>
      <c r="G233" s="21"/>
      <c r="H233" s="21"/>
      <c r="I233" s="21"/>
      <c r="J233" s="22">
        <f t="shared" ref="J233:J264" si="12">E233</f>
        <v>0</v>
      </c>
      <c r="K233" s="22"/>
      <c r="L233" s="43">
        <f t="shared" ref="L233:L265" si="13">J233-K233</f>
        <v>0</v>
      </c>
      <c r="M233" s="25"/>
      <c r="N233" s="24"/>
    </row>
    <row r="234" spans="2:14">
      <c r="B234" s="34"/>
      <c r="C234" s="20"/>
      <c r="D234" s="21"/>
      <c r="E234" s="38"/>
      <c r="F234" s="21"/>
      <c r="G234" s="21"/>
      <c r="H234" s="21"/>
      <c r="I234" s="21"/>
      <c r="J234" s="22">
        <f t="shared" si="12"/>
        <v>0</v>
      </c>
      <c r="K234" s="22"/>
      <c r="L234" s="43">
        <f t="shared" si="13"/>
        <v>0</v>
      </c>
      <c r="M234" s="25"/>
      <c r="N234" s="24"/>
    </row>
    <row r="235" spans="2:14">
      <c r="B235" s="34"/>
      <c r="C235" s="20"/>
      <c r="D235" s="21"/>
      <c r="E235" s="38"/>
      <c r="F235" s="21"/>
      <c r="G235" s="21"/>
      <c r="H235" s="21"/>
      <c r="I235" s="21"/>
      <c r="J235" s="22">
        <f t="shared" si="12"/>
        <v>0</v>
      </c>
      <c r="K235" s="22"/>
      <c r="L235" s="43">
        <f t="shared" si="13"/>
        <v>0</v>
      </c>
      <c r="M235" s="25"/>
      <c r="N235" s="24"/>
    </row>
    <row r="236" spans="2:14">
      <c r="B236" s="34"/>
      <c r="C236" s="20"/>
      <c r="D236" s="21"/>
      <c r="E236" s="38"/>
      <c r="F236" s="21"/>
      <c r="G236" s="21"/>
      <c r="H236" s="21"/>
      <c r="I236" s="21"/>
      <c r="J236" s="22">
        <f t="shared" si="12"/>
        <v>0</v>
      </c>
      <c r="K236" s="22"/>
      <c r="L236" s="43">
        <f t="shared" si="13"/>
        <v>0</v>
      </c>
      <c r="M236" s="25"/>
      <c r="N236" s="24"/>
    </row>
    <row r="237" spans="2:14">
      <c r="B237" s="34"/>
      <c r="C237" s="20"/>
      <c r="D237" s="21"/>
      <c r="E237" s="38"/>
      <c r="F237" s="21"/>
      <c r="G237" s="21"/>
      <c r="H237" s="21"/>
      <c r="I237" s="21"/>
      <c r="J237" s="22">
        <f t="shared" si="12"/>
        <v>0</v>
      </c>
      <c r="K237" s="22"/>
      <c r="L237" s="43">
        <f t="shared" si="13"/>
        <v>0</v>
      </c>
      <c r="M237" s="25"/>
      <c r="N237" s="24"/>
    </row>
    <row r="238" spans="2:14">
      <c r="B238" s="34"/>
      <c r="C238" s="20"/>
      <c r="D238" s="21"/>
      <c r="E238" s="38"/>
      <c r="F238" s="21"/>
      <c r="G238" s="21"/>
      <c r="H238" s="21"/>
      <c r="I238" s="21"/>
      <c r="J238" s="22">
        <f t="shared" si="12"/>
        <v>0</v>
      </c>
      <c r="K238" s="22"/>
      <c r="L238" s="43">
        <f t="shared" si="13"/>
        <v>0</v>
      </c>
      <c r="M238" s="25"/>
      <c r="N238" s="24"/>
    </row>
    <row r="239" spans="2:14">
      <c r="B239" s="34"/>
      <c r="C239" s="20"/>
      <c r="D239" s="21"/>
      <c r="E239" s="38"/>
      <c r="F239" s="21"/>
      <c r="G239" s="21"/>
      <c r="H239" s="21"/>
      <c r="I239" s="21"/>
      <c r="J239" s="22">
        <f t="shared" si="12"/>
        <v>0</v>
      </c>
      <c r="K239" s="22"/>
      <c r="L239" s="43">
        <f t="shared" si="13"/>
        <v>0</v>
      </c>
      <c r="M239" s="25"/>
      <c r="N239" s="24"/>
    </row>
    <row r="240" spans="2:14">
      <c r="B240" s="34"/>
      <c r="C240" s="20"/>
      <c r="D240" s="21"/>
      <c r="E240" s="38"/>
      <c r="F240" s="21"/>
      <c r="G240" s="21"/>
      <c r="H240" s="21"/>
      <c r="I240" s="21"/>
      <c r="J240" s="22">
        <f t="shared" si="12"/>
        <v>0</v>
      </c>
      <c r="K240" s="22"/>
      <c r="L240" s="43">
        <f t="shared" si="13"/>
        <v>0</v>
      </c>
      <c r="M240" s="25"/>
      <c r="N240" s="24"/>
    </row>
    <row r="241" spans="2:14">
      <c r="B241" s="34"/>
      <c r="C241" s="20"/>
      <c r="D241" s="21"/>
      <c r="E241" s="38"/>
      <c r="F241" s="21"/>
      <c r="G241" s="21"/>
      <c r="H241" s="21"/>
      <c r="I241" s="21"/>
      <c r="J241" s="22">
        <f t="shared" si="12"/>
        <v>0</v>
      </c>
      <c r="K241" s="22"/>
      <c r="L241" s="43">
        <f t="shared" si="13"/>
        <v>0</v>
      </c>
      <c r="M241" s="25"/>
      <c r="N241" s="24"/>
    </row>
    <row r="242" spans="2:14">
      <c r="B242" s="34"/>
      <c r="C242" s="20"/>
      <c r="D242" s="21"/>
      <c r="E242" s="38"/>
      <c r="F242" s="21"/>
      <c r="G242" s="21"/>
      <c r="H242" s="21"/>
      <c r="I242" s="21"/>
      <c r="J242" s="22">
        <f t="shared" si="12"/>
        <v>0</v>
      </c>
      <c r="K242" s="22"/>
      <c r="L242" s="43">
        <f t="shared" si="13"/>
        <v>0</v>
      </c>
      <c r="M242" s="25"/>
      <c r="N242" s="24"/>
    </row>
    <row r="243" spans="2:14">
      <c r="B243" s="34"/>
      <c r="C243" s="20"/>
      <c r="D243" s="21"/>
      <c r="E243" s="38"/>
      <c r="F243" s="21"/>
      <c r="G243" s="21"/>
      <c r="H243" s="21"/>
      <c r="I243" s="21"/>
      <c r="J243" s="22">
        <f t="shared" si="12"/>
        <v>0</v>
      </c>
      <c r="K243" s="22"/>
      <c r="L243" s="43">
        <f t="shared" si="13"/>
        <v>0</v>
      </c>
      <c r="M243" s="25"/>
      <c r="N243" s="24"/>
    </row>
    <row r="244" spans="2:14">
      <c r="B244" s="34"/>
      <c r="C244" s="20"/>
      <c r="D244" s="21"/>
      <c r="E244" s="38"/>
      <c r="F244" s="21"/>
      <c r="G244" s="21"/>
      <c r="H244" s="21"/>
      <c r="I244" s="21"/>
      <c r="J244" s="22">
        <f t="shared" si="12"/>
        <v>0</v>
      </c>
      <c r="K244" s="22"/>
      <c r="L244" s="43">
        <f t="shared" si="13"/>
        <v>0</v>
      </c>
      <c r="M244" s="25"/>
      <c r="N244" s="24"/>
    </row>
    <row r="245" spans="2:14">
      <c r="B245" s="34"/>
      <c r="C245" s="20"/>
      <c r="D245" s="21"/>
      <c r="E245" s="38"/>
      <c r="F245" s="21"/>
      <c r="G245" s="21"/>
      <c r="H245" s="21"/>
      <c r="I245" s="21"/>
      <c r="J245" s="22">
        <f t="shared" si="12"/>
        <v>0</v>
      </c>
      <c r="K245" s="22"/>
      <c r="L245" s="43">
        <f t="shared" si="13"/>
        <v>0</v>
      </c>
      <c r="M245" s="25"/>
      <c r="N245" s="24"/>
    </row>
    <row r="246" spans="2:14">
      <c r="B246" s="34"/>
      <c r="C246" s="20"/>
      <c r="D246" s="21"/>
      <c r="E246" s="38"/>
      <c r="F246" s="21"/>
      <c r="G246" s="21"/>
      <c r="H246" s="21"/>
      <c r="I246" s="21"/>
      <c r="J246" s="22">
        <f t="shared" si="12"/>
        <v>0</v>
      </c>
      <c r="K246" s="22"/>
      <c r="L246" s="43">
        <f t="shared" si="13"/>
        <v>0</v>
      </c>
      <c r="M246" s="25"/>
      <c r="N246" s="24"/>
    </row>
    <row r="247" spans="2:14">
      <c r="B247" s="34"/>
      <c r="C247" s="20"/>
      <c r="D247" s="21"/>
      <c r="E247" s="38"/>
      <c r="F247" s="21"/>
      <c r="G247" s="21"/>
      <c r="H247" s="21"/>
      <c r="I247" s="21"/>
      <c r="J247" s="22">
        <f t="shared" si="12"/>
        <v>0</v>
      </c>
      <c r="K247" s="22"/>
      <c r="L247" s="43">
        <f t="shared" si="13"/>
        <v>0</v>
      </c>
      <c r="M247" s="25"/>
      <c r="N247" s="24"/>
    </row>
    <row r="248" spans="2:14">
      <c r="B248" s="34"/>
      <c r="C248" s="20"/>
      <c r="D248" s="21"/>
      <c r="E248" s="38"/>
      <c r="F248" s="21"/>
      <c r="G248" s="21"/>
      <c r="H248" s="21"/>
      <c r="I248" s="21"/>
      <c r="J248" s="22">
        <f t="shared" si="12"/>
        <v>0</v>
      </c>
      <c r="K248" s="22"/>
      <c r="L248" s="43">
        <f t="shared" si="13"/>
        <v>0</v>
      </c>
      <c r="M248" s="25"/>
      <c r="N248" s="24"/>
    </row>
    <row r="249" spans="2:14">
      <c r="B249" s="34"/>
      <c r="C249" s="20"/>
      <c r="D249" s="21"/>
      <c r="E249" s="38"/>
      <c r="F249" s="21"/>
      <c r="G249" s="21"/>
      <c r="H249" s="21"/>
      <c r="I249" s="21"/>
      <c r="J249" s="22">
        <f t="shared" si="12"/>
        <v>0</v>
      </c>
      <c r="K249" s="22"/>
      <c r="L249" s="43">
        <f t="shared" si="13"/>
        <v>0</v>
      </c>
      <c r="M249" s="25"/>
      <c r="N249" s="24"/>
    </row>
    <row r="250" spans="2:14">
      <c r="B250" s="34"/>
      <c r="C250" s="20"/>
      <c r="D250" s="21"/>
      <c r="E250" s="38"/>
      <c r="F250" s="21"/>
      <c r="G250" s="21"/>
      <c r="H250" s="21"/>
      <c r="I250" s="21"/>
      <c r="J250" s="22">
        <f t="shared" si="12"/>
        <v>0</v>
      </c>
      <c r="K250" s="22"/>
      <c r="L250" s="43">
        <f t="shared" si="13"/>
        <v>0</v>
      </c>
      <c r="M250" s="25"/>
      <c r="N250" s="24"/>
    </row>
    <row r="251" spans="2:14">
      <c r="B251" s="34"/>
      <c r="C251" s="20"/>
      <c r="D251" s="21"/>
      <c r="E251" s="38"/>
      <c r="F251" s="21"/>
      <c r="G251" s="21"/>
      <c r="H251" s="21"/>
      <c r="I251" s="21"/>
      <c r="J251" s="22">
        <f t="shared" si="12"/>
        <v>0</v>
      </c>
      <c r="K251" s="22"/>
      <c r="L251" s="43">
        <f t="shared" si="13"/>
        <v>0</v>
      </c>
      <c r="M251" s="25"/>
      <c r="N251" s="24"/>
    </row>
    <row r="252" spans="2:14">
      <c r="B252" s="34"/>
      <c r="C252" s="20"/>
      <c r="D252" s="21"/>
      <c r="E252" s="38"/>
      <c r="F252" s="21"/>
      <c r="G252" s="21"/>
      <c r="H252" s="21"/>
      <c r="I252" s="21"/>
      <c r="J252" s="22">
        <f t="shared" si="12"/>
        <v>0</v>
      </c>
      <c r="K252" s="22"/>
      <c r="L252" s="43">
        <f t="shared" si="13"/>
        <v>0</v>
      </c>
      <c r="M252" s="25"/>
      <c r="N252" s="24"/>
    </row>
    <row r="253" spans="2:14">
      <c r="B253" s="34"/>
      <c r="C253" s="20"/>
      <c r="D253" s="21"/>
      <c r="E253" s="38"/>
      <c r="F253" s="21"/>
      <c r="G253" s="21"/>
      <c r="H253" s="21"/>
      <c r="I253" s="21"/>
      <c r="J253" s="22">
        <f t="shared" si="12"/>
        <v>0</v>
      </c>
      <c r="K253" s="22"/>
      <c r="L253" s="43">
        <f t="shared" si="13"/>
        <v>0</v>
      </c>
      <c r="M253" s="25"/>
      <c r="N253" s="24"/>
    </row>
    <row r="254" spans="2:14">
      <c r="B254" s="34"/>
      <c r="C254" s="20"/>
      <c r="D254" s="21"/>
      <c r="E254" s="38"/>
      <c r="F254" s="21"/>
      <c r="G254" s="21"/>
      <c r="H254" s="21"/>
      <c r="I254" s="21"/>
      <c r="J254" s="22">
        <f t="shared" si="12"/>
        <v>0</v>
      </c>
      <c r="K254" s="22"/>
      <c r="L254" s="43">
        <f t="shared" si="13"/>
        <v>0</v>
      </c>
      <c r="M254" s="25"/>
      <c r="N254" s="24"/>
    </row>
    <row r="255" spans="2:14">
      <c r="B255" s="34"/>
      <c r="C255" s="20"/>
      <c r="D255" s="21"/>
      <c r="E255" s="38"/>
      <c r="F255" s="21"/>
      <c r="G255" s="21"/>
      <c r="H255" s="21"/>
      <c r="I255" s="21"/>
      <c r="J255" s="22">
        <f t="shared" si="12"/>
        <v>0</v>
      </c>
      <c r="K255" s="22"/>
      <c r="L255" s="43">
        <f t="shared" si="13"/>
        <v>0</v>
      </c>
      <c r="M255" s="25"/>
      <c r="N255" s="24"/>
    </row>
    <row r="256" spans="2:14">
      <c r="B256" s="34"/>
      <c r="C256" s="20"/>
      <c r="D256" s="21"/>
      <c r="E256" s="38"/>
      <c r="F256" s="21"/>
      <c r="G256" s="21"/>
      <c r="H256" s="21"/>
      <c r="I256" s="21"/>
      <c r="J256" s="22">
        <f t="shared" si="12"/>
        <v>0</v>
      </c>
      <c r="K256" s="22"/>
      <c r="L256" s="43">
        <f t="shared" si="13"/>
        <v>0</v>
      </c>
      <c r="M256" s="25"/>
      <c r="N256" s="24"/>
    </row>
    <row r="257" spans="2:14">
      <c r="B257" s="34"/>
      <c r="C257" s="20"/>
      <c r="D257" s="21"/>
      <c r="E257" s="38"/>
      <c r="F257" s="21"/>
      <c r="G257" s="21"/>
      <c r="H257" s="21"/>
      <c r="I257" s="21"/>
      <c r="J257" s="22">
        <f t="shared" si="12"/>
        <v>0</v>
      </c>
      <c r="K257" s="22"/>
      <c r="L257" s="43">
        <f t="shared" si="13"/>
        <v>0</v>
      </c>
      <c r="M257" s="25"/>
      <c r="N257" s="24"/>
    </row>
    <row r="258" spans="2:14">
      <c r="B258" s="34"/>
      <c r="C258" s="20"/>
      <c r="D258" s="21"/>
      <c r="E258" s="38"/>
      <c r="F258" s="21"/>
      <c r="G258" s="21"/>
      <c r="H258" s="21"/>
      <c r="I258" s="21"/>
      <c r="J258" s="22">
        <f t="shared" si="12"/>
        <v>0</v>
      </c>
      <c r="K258" s="22"/>
      <c r="L258" s="43">
        <f t="shared" si="13"/>
        <v>0</v>
      </c>
      <c r="M258" s="25"/>
      <c r="N258" s="24"/>
    </row>
    <row r="259" spans="2:14">
      <c r="B259" s="34"/>
      <c r="C259" s="20"/>
      <c r="D259" s="21"/>
      <c r="E259" s="38"/>
      <c r="F259" s="21"/>
      <c r="G259" s="21"/>
      <c r="H259" s="21"/>
      <c r="I259" s="21"/>
      <c r="J259" s="22">
        <f t="shared" si="12"/>
        <v>0</v>
      </c>
      <c r="K259" s="22"/>
      <c r="L259" s="43">
        <f t="shared" si="13"/>
        <v>0</v>
      </c>
      <c r="M259" s="25"/>
      <c r="N259" s="24"/>
    </row>
    <row r="260" spans="2:14">
      <c r="B260" s="34"/>
      <c r="C260" s="20"/>
      <c r="D260" s="21"/>
      <c r="E260" s="38"/>
      <c r="F260" s="21"/>
      <c r="G260" s="21"/>
      <c r="H260" s="21"/>
      <c r="I260" s="21"/>
      <c r="J260" s="22">
        <f t="shared" si="12"/>
        <v>0</v>
      </c>
      <c r="K260" s="22"/>
      <c r="L260" s="43">
        <f t="shared" si="13"/>
        <v>0</v>
      </c>
      <c r="M260" s="25"/>
      <c r="N260" s="24"/>
    </row>
    <row r="261" spans="2:14">
      <c r="B261" s="34"/>
      <c r="C261" s="20"/>
      <c r="D261" s="21"/>
      <c r="E261" s="38"/>
      <c r="F261" s="21"/>
      <c r="G261" s="21"/>
      <c r="H261" s="21"/>
      <c r="I261" s="21"/>
      <c r="J261" s="22">
        <f t="shared" si="12"/>
        <v>0</v>
      </c>
      <c r="K261" s="22"/>
      <c r="L261" s="43">
        <f t="shared" si="13"/>
        <v>0</v>
      </c>
      <c r="M261" s="25"/>
      <c r="N261" s="24"/>
    </row>
    <row r="262" spans="2:14">
      <c r="B262" s="34"/>
      <c r="C262" s="20"/>
      <c r="D262" s="21"/>
      <c r="E262" s="38"/>
      <c r="F262" s="21"/>
      <c r="G262" s="21"/>
      <c r="H262" s="21"/>
      <c r="I262" s="21"/>
      <c r="J262" s="22">
        <f t="shared" si="12"/>
        <v>0</v>
      </c>
      <c r="K262" s="22"/>
      <c r="L262" s="43">
        <f t="shared" si="13"/>
        <v>0</v>
      </c>
      <c r="M262" s="25"/>
      <c r="N262" s="24"/>
    </row>
    <row r="263" spans="2:14">
      <c r="B263" s="34"/>
      <c r="C263" s="20"/>
      <c r="D263" s="21"/>
      <c r="E263" s="38"/>
      <c r="F263" s="21"/>
      <c r="G263" s="21"/>
      <c r="H263" s="21"/>
      <c r="I263" s="21"/>
      <c r="J263" s="22">
        <f t="shared" si="12"/>
        <v>0</v>
      </c>
      <c r="K263" s="22"/>
      <c r="L263" s="43">
        <f t="shared" si="13"/>
        <v>0</v>
      </c>
      <c r="M263" s="25"/>
      <c r="N263" s="24"/>
    </row>
    <row r="264" spans="2:14">
      <c r="B264" s="44"/>
      <c r="C264" s="20"/>
      <c r="D264" s="21"/>
      <c r="E264" s="38"/>
      <c r="F264" s="21"/>
      <c r="G264" s="21"/>
      <c r="H264" s="21"/>
      <c r="I264" s="21"/>
      <c r="J264" s="22">
        <f t="shared" si="12"/>
        <v>0</v>
      </c>
      <c r="K264" s="22"/>
      <c r="L264" s="43">
        <f t="shared" si="13"/>
        <v>0</v>
      </c>
      <c r="M264" s="25"/>
      <c r="N264" s="24"/>
    </row>
    <row r="265" spans="2:14">
      <c r="B265" s="45"/>
      <c r="C265" s="46"/>
      <c r="D265" s="47"/>
      <c r="E265" s="48">
        <f>SUM(E8:E264)</f>
        <v>86746.8999999999</v>
      </c>
      <c r="F265" s="45"/>
      <c r="G265" s="49"/>
      <c r="H265" s="50"/>
      <c r="I265" s="51" t="s">
        <v>383</v>
      </c>
      <c r="J265" s="52">
        <f>SUBTOTAL(9,J8:J264)</f>
        <v>86746.8999999999</v>
      </c>
      <c r="K265" s="52">
        <f>SUBTOTAL(9,K8:K264)</f>
        <v>88025.5899999999</v>
      </c>
      <c r="L265" s="53">
        <f t="shared" si="13"/>
        <v>-1278.69</v>
      </c>
      <c r="M265" s="54"/>
      <c r="N265" s="53"/>
    </row>
    <row r="1048564" spans="2:7">
      <c r="B1048564" s="55"/>
    </row>
    <row r="1048568" spans="2:7">
      <c r="G1048568" s="23"/>
    </row>
  </sheetData>
  <autoFilter xmlns:etc="http://www.wps.cn/officeDocument/2017/etCustomData" ref="B6:N264" etc:filterBottomFollowUsedRange="0">
    <extLst/>
  </autoFilter>
  <mergeCells count="12">
    <mergeCell ref="B2:L2"/>
    <mergeCell ref="C4:D4"/>
    <mergeCell ref="G6:J6"/>
    <mergeCell ref="B6:B7"/>
    <mergeCell ref="C6:C7"/>
    <mergeCell ref="D6:D7"/>
    <mergeCell ref="E6:E7"/>
    <mergeCell ref="F6:F7"/>
    <mergeCell ref="K6:K7"/>
    <mergeCell ref="L6:L7"/>
    <mergeCell ref="M6:M7"/>
    <mergeCell ref="N6:N7"/>
  </mergeCells>
  <pageMargins left="0.7" right="0.7" top="0.75" bottom="0.75" header="0.3" footer="0.3"/>
  <pageSetup paperSize="1" orientation="portrait" horizontalDpi="360" verticalDpi="36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048572"/>
  <sheetViews>
    <sheetView topLeftCell="A79" workbookViewId="0">
      <selection activeCell="D91" sqref="D91"/>
    </sheetView>
  </sheetViews>
  <sheetFormatPr defaultColWidth="11" defaultRowHeight="15"/>
  <cols>
    <col min="1" max="1" width="3.85714285714286" customWidth="1"/>
    <col min="2" max="2" width="11" customWidth="1"/>
    <col min="3" max="3" width="6.14285714285714" customWidth="1"/>
    <col min="4" max="4" width="14.7142857142857" customWidth="1"/>
    <col min="5" max="5" width="12.5714285714286" customWidth="1"/>
    <col min="6" max="6" width="17.7142857142857" customWidth="1"/>
    <col min="8" max="8" width="12.1428571428571" customWidth="1"/>
    <col min="9" max="9" width="12.2857142857143" customWidth="1"/>
    <col min="10" max="10" width="14.2857142857143" customWidth="1"/>
    <col min="11" max="11" width="15.5714285714286" customWidth="1"/>
    <col min="12" max="12" width="11.4285714285714" customWidth="1"/>
    <col min="13" max="13" width="24.7142857142857" customWidth="1"/>
    <col min="14" max="14" width="18" customWidth="1"/>
  </cols>
  <sheetData>
    <row r="2" ht="21" spans="2:1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5.75"/>
    <row r="4" ht="15.75" spans="2:14">
      <c r="B4" s="3" t="s">
        <v>1</v>
      </c>
      <c r="C4" s="4">
        <f ca="1">TODAY()</f>
        <v>46247</v>
      </c>
      <c r="D4" s="5"/>
      <c r="M4" t="s">
        <v>772</v>
      </c>
    </row>
    <row r="6" spans="2:14">
      <c r="B6" s="6" t="s">
        <v>2</v>
      </c>
      <c r="C6" s="6" t="s">
        <v>3</v>
      </c>
      <c r="D6" s="6" t="s">
        <v>4</v>
      </c>
      <c r="E6" s="7" t="s">
        <v>5</v>
      </c>
      <c r="F6" s="7" t="s">
        <v>6</v>
      </c>
      <c r="G6" s="8" t="s">
        <v>7</v>
      </c>
      <c r="H6" s="9"/>
      <c r="I6" s="9"/>
      <c r="J6" s="10"/>
      <c r="K6" s="11" t="s">
        <v>8</v>
      </c>
      <c r="L6" s="11" t="s">
        <v>9</v>
      </c>
      <c r="M6" s="12" t="s">
        <v>10</v>
      </c>
      <c r="N6" s="12" t="s">
        <v>11</v>
      </c>
    </row>
    <row r="7" spans="2:14">
      <c r="B7" s="13"/>
      <c r="C7" s="13"/>
      <c r="D7" s="14"/>
      <c r="E7" s="13"/>
      <c r="F7" s="13"/>
      <c r="G7" s="15" t="s">
        <v>12</v>
      </c>
      <c r="H7" s="15" t="s">
        <v>13</v>
      </c>
      <c r="I7" s="15" t="s">
        <v>2</v>
      </c>
      <c r="J7" s="16" t="s">
        <v>14</v>
      </c>
      <c r="K7" s="17"/>
      <c r="L7" s="17"/>
      <c r="M7" s="17"/>
      <c r="N7" s="18"/>
    </row>
    <row r="8" spans="2:14">
      <c r="B8" s="19">
        <v>46028</v>
      </c>
      <c r="C8" s="20" t="s">
        <v>15</v>
      </c>
      <c r="D8" s="21" t="s">
        <v>1908</v>
      </c>
      <c r="E8" s="22">
        <v>908.45</v>
      </c>
      <c r="F8" s="23" t="s">
        <v>17</v>
      </c>
      <c r="G8" s="23" t="s">
        <v>18</v>
      </c>
      <c r="H8" s="21" t="s">
        <v>1909</v>
      </c>
      <c r="I8" s="19">
        <v>46028</v>
      </c>
      <c r="J8" s="22">
        <f t="shared" ref="J8:J16" si="0">E8</f>
        <v>908.45</v>
      </c>
      <c r="K8" s="22">
        <v>1552.78</v>
      </c>
      <c r="L8" s="24">
        <f t="shared" ref="L8:L17" si="1">J8-K8</f>
        <v>-644.33</v>
      </c>
      <c r="M8" s="25" t="s">
        <v>595</v>
      </c>
      <c r="N8" s="26" t="s">
        <v>33</v>
      </c>
    </row>
    <row r="9" spans="2:14">
      <c r="B9" s="19">
        <v>46028</v>
      </c>
      <c r="C9" s="20" t="s">
        <v>15</v>
      </c>
      <c r="D9" s="21" t="s">
        <v>1910</v>
      </c>
      <c r="E9" s="27">
        <v>1381.97</v>
      </c>
      <c r="F9" s="23" t="s">
        <v>17</v>
      </c>
      <c r="G9" s="23" t="s">
        <v>37</v>
      </c>
      <c r="H9" s="21" t="s">
        <v>1911</v>
      </c>
      <c r="I9" s="19">
        <v>46028</v>
      </c>
      <c r="J9" s="22">
        <f t="shared" si="0"/>
        <v>1381.97</v>
      </c>
      <c r="K9" s="27">
        <v>1381.97</v>
      </c>
      <c r="L9" s="24">
        <f t="shared" si="1"/>
        <v>0</v>
      </c>
      <c r="M9" s="25"/>
      <c r="N9" s="26"/>
    </row>
    <row r="10" spans="2:14">
      <c r="B10" s="19">
        <v>46028</v>
      </c>
      <c r="C10" s="20" t="s">
        <v>15</v>
      </c>
      <c r="D10" s="21" t="s">
        <v>1912</v>
      </c>
      <c r="E10" s="27">
        <v>110.89</v>
      </c>
      <c r="F10" s="23" t="s">
        <v>29</v>
      </c>
      <c r="G10" s="23"/>
      <c r="H10" s="21" t="s">
        <v>1913</v>
      </c>
      <c r="I10" s="19">
        <v>46028</v>
      </c>
      <c r="J10" s="22">
        <f t="shared" si="0"/>
        <v>110.89</v>
      </c>
      <c r="K10" s="27">
        <v>110.89</v>
      </c>
      <c r="L10" s="24">
        <f t="shared" si="1"/>
        <v>0</v>
      </c>
      <c r="M10" s="25"/>
      <c r="N10" s="26"/>
    </row>
    <row r="11" spans="2:14">
      <c r="B11" s="56">
        <v>46028</v>
      </c>
      <c r="C11" s="57" t="s">
        <v>15</v>
      </c>
      <c r="D11" s="58" t="s">
        <v>1914</v>
      </c>
      <c r="E11" s="59">
        <v>4634.28</v>
      </c>
      <c r="F11" s="60" t="s">
        <v>17</v>
      </c>
      <c r="G11" s="60" t="s">
        <v>21</v>
      </c>
      <c r="H11" s="61" t="s">
        <v>1915</v>
      </c>
      <c r="I11" s="56">
        <v>46028</v>
      </c>
      <c r="J11" s="62">
        <f t="shared" si="0"/>
        <v>4634.28</v>
      </c>
      <c r="K11" s="59">
        <v>4634.28</v>
      </c>
      <c r="L11" s="24">
        <f t="shared" si="1"/>
        <v>0</v>
      </c>
      <c r="M11" s="25"/>
      <c r="N11" s="26" t="s">
        <v>56</v>
      </c>
    </row>
    <row r="12" spans="2:14">
      <c r="B12" s="56">
        <v>46028</v>
      </c>
      <c r="C12" s="57" t="s">
        <v>15</v>
      </c>
      <c r="D12" s="58" t="s">
        <v>1916</v>
      </c>
      <c r="E12" s="63">
        <v>5303.66</v>
      </c>
      <c r="F12" s="60" t="s">
        <v>17</v>
      </c>
      <c r="G12" s="60" t="s">
        <v>21</v>
      </c>
      <c r="H12" s="58" t="s">
        <v>1917</v>
      </c>
      <c r="I12" s="56">
        <v>46028</v>
      </c>
      <c r="J12" s="62">
        <f t="shared" si="0"/>
        <v>5303.66</v>
      </c>
      <c r="K12" s="63">
        <v>5303.66</v>
      </c>
      <c r="L12" s="24">
        <f t="shared" si="1"/>
        <v>0</v>
      </c>
      <c r="M12" s="25"/>
      <c r="N12" s="26" t="s">
        <v>56</v>
      </c>
    </row>
    <row r="13" spans="2:14">
      <c r="B13" s="19">
        <v>46059</v>
      </c>
      <c r="C13" s="20" t="s">
        <v>15</v>
      </c>
      <c r="D13" s="21" t="s">
        <v>1918</v>
      </c>
      <c r="E13" s="22">
        <v>961.2</v>
      </c>
      <c r="F13" s="23" t="s">
        <v>29</v>
      </c>
      <c r="G13" s="23"/>
      <c r="H13" s="23" t="s">
        <v>1919</v>
      </c>
      <c r="I13" s="19">
        <v>46059</v>
      </c>
      <c r="J13" s="22">
        <f t="shared" si="0"/>
        <v>961.2</v>
      </c>
      <c r="K13" s="22">
        <v>961.2</v>
      </c>
      <c r="L13" s="24">
        <f t="shared" si="1"/>
        <v>0</v>
      </c>
      <c r="M13" s="25"/>
      <c r="N13" s="26" t="s">
        <v>23</v>
      </c>
    </row>
    <row r="14" spans="2:14">
      <c r="B14" s="19">
        <v>46059</v>
      </c>
      <c r="C14" s="20" t="s">
        <v>15</v>
      </c>
      <c r="D14" s="21" t="s">
        <v>1920</v>
      </c>
      <c r="E14" s="27">
        <v>761.81</v>
      </c>
      <c r="F14" s="28" t="s">
        <v>17</v>
      </c>
      <c r="G14" s="23" t="s">
        <v>21</v>
      </c>
      <c r="H14" s="30" t="s">
        <v>1921</v>
      </c>
      <c r="I14" s="19">
        <v>46059</v>
      </c>
      <c r="J14" s="22">
        <f t="shared" si="0"/>
        <v>761.81</v>
      </c>
      <c r="K14" s="27">
        <v>761.81</v>
      </c>
      <c r="L14" s="24">
        <f t="shared" si="1"/>
        <v>0</v>
      </c>
      <c r="M14" s="25"/>
      <c r="N14" s="26" t="s">
        <v>23</v>
      </c>
    </row>
    <row r="15" spans="2:14">
      <c r="B15" s="19">
        <v>46059</v>
      </c>
      <c r="C15" s="20" t="s">
        <v>15</v>
      </c>
      <c r="D15" s="21" t="s">
        <v>1922</v>
      </c>
      <c r="E15" s="22">
        <v>274.74</v>
      </c>
      <c r="F15" s="28" t="s">
        <v>17</v>
      </c>
      <c r="G15" s="23" t="s">
        <v>21</v>
      </c>
      <c r="H15" s="21" t="s">
        <v>1923</v>
      </c>
      <c r="I15" s="19">
        <v>46059</v>
      </c>
      <c r="J15" s="22">
        <f t="shared" si="0"/>
        <v>274.74</v>
      </c>
      <c r="K15" s="22">
        <v>274.74</v>
      </c>
      <c r="L15" s="24">
        <f t="shared" si="1"/>
        <v>0</v>
      </c>
      <c r="M15" s="25"/>
      <c r="N15" s="26"/>
    </row>
    <row r="16" spans="2:14">
      <c r="B16" s="19">
        <v>46059</v>
      </c>
      <c r="C16" s="20" t="s">
        <v>15</v>
      </c>
      <c r="D16" s="21" t="s">
        <v>1924</v>
      </c>
      <c r="E16" s="22">
        <v>180.91</v>
      </c>
      <c r="F16" s="21" t="s">
        <v>29</v>
      </c>
      <c r="G16" s="21"/>
      <c r="H16" s="21" t="s">
        <v>1925</v>
      </c>
      <c r="I16" s="19">
        <v>46059</v>
      </c>
      <c r="J16" s="22">
        <f t="shared" si="0"/>
        <v>180.91</v>
      </c>
      <c r="K16" s="22">
        <v>127.48</v>
      </c>
      <c r="L16" s="24">
        <f t="shared" si="1"/>
        <v>53.43</v>
      </c>
      <c r="M16" s="25"/>
      <c r="N16" s="26" t="s">
        <v>23</v>
      </c>
    </row>
    <row r="17" spans="2:14">
      <c r="B17" s="19"/>
      <c r="C17" s="20"/>
      <c r="D17" s="21"/>
      <c r="E17" s="22"/>
      <c r="F17" s="21" t="s">
        <v>29</v>
      </c>
      <c r="G17" s="21"/>
      <c r="H17" s="21" t="s">
        <v>1926</v>
      </c>
      <c r="I17" s="19"/>
      <c r="J17" s="22"/>
      <c r="K17" s="22">
        <v>53.43</v>
      </c>
      <c r="L17" s="24">
        <f t="shared" si="1"/>
        <v>-53.43</v>
      </c>
      <c r="M17" s="25"/>
      <c r="N17" s="26"/>
    </row>
    <row r="18" spans="2:14">
      <c r="B18" s="19">
        <v>46059</v>
      </c>
      <c r="C18" s="20" t="s">
        <v>15</v>
      </c>
      <c r="D18" s="21" t="s">
        <v>1927</v>
      </c>
      <c r="E18" s="22">
        <v>529.41</v>
      </c>
      <c r="F18" s="23" t="s">
        <v>17</v>
      </c>
      <c r="G18" s="23" t="s">
        <v>21</v>
      </c>
      <c r="H18" s="23" t="s">
        <v>1928</v>
      </c>
      <c r="I18" s="19">
        <v>46059</v>
      </c>
      <c r="J18" s="22">
        <f t="shared" ref="J18:J81" si="2">E18</f>
        <v>529.41</v>
      </c>
      <c r="K18" s="22">
        <v>1126.96</v>
      </c>
      <c r="L18" s="24">
        <f t="shared" ref="L18:L81" si="3">J18-K18</f>
        <v>-597.55</v>
      </c>
      <c r="M18" s="25" t="s">
        <v>1929</v>
      </c>
      <c r="N18" s="26" t="s">
        <v>23</v>
      </c>
    </row>
    <row r="19" spans="2:14">
      <c r="B19" s="19">
        <v>46059</v>
      </c>
      <c r="C19" s="20" t="s">
        <v>15</v>
      </c>
      <c r="D19" s="21" t="s">
        <v>1930</v>
      </c>
      <c r="E19" s="22">
        <v>216.76</v>
      </c>
      <c r="F19" s="21" t="s">
        <v>29</v>
      </c>
      <c r="G19" s="21"/>
      <c r="H19" s="21" t="s">
        <v>1931</v>
      </c>
      <c r="I19" s="19">
        <v>46059</v>
      </c>
      <c r="J19" s="22">
        <f t="shared" si="2"/>
        <v>216.76</v>
      </c>
      <c r="K19" s="22">
        <v>216.76</v>
      </c>
      <c r="L19" s="24">
        <f t="shared" si="3"/>
        <v>0</v>
      </c>
      <c r="M19" s="25"/>
      <c r="N19" s="26" t="s">
        <v>33</v>
      </c>
    </row>
    <row r="20" spans="2:14">
      <c r="B20" s="19">
        <v>46059</v>
      </c>
      <c r="C20" s="20" t="s">
        <v>15</v>
      </c>
      <c r="D20" s="21" t="s">
        <v>1932</v>
      </c>
      <c r="E20" s="22">
        <v>389.56</v>
      </c>
      <c r="F20" s="21" t="s">
        <v>29</v>
      </c>
      <c r="G20" s="21"/>
      <c r="H20" s="21" t="s">
        <v>1933</v>
      </c>
      <c r="I20" s="19">
        <v>46059</v>
      </c>
      <c r="J20" s="22">
        <f t="shared" si="2"/>
        <v>389.56</v>
      </c>
      <c r="K20" s="22">
        <v>389.56</v>
      </c>
      <c r="L20" s="24">
        <f t="shared" si="3"/>
        <v>0</v>
      </c>
      <c r="M20" s="25"/>
      <c r="N20" s="26" t="s">
        <v>33</v>
      </c>
    </row>
    <row r="21" spans="2:14">
      <c r="B21" s="19">
        <v>46059</v>
      </c>
      <c r="C21" s="20" t="s">
        <v>15</v>
      </c>
      <c r="D21" s="21" t="s">
        <v>1934</v>
      </c>
      <c r="E21" s="22">
        <v>869.39</v>
      </c>
      <c r="F21" s="21" t="s">
        <v>17</v>
      </c>
      <c r="G21" s="21" t="s">
        <v>21</v>
      </c>
      <c r="H21" s="21" t="s">
        <v>1935</v>
      </c>
      <c r="I21" s="19">
        <v>46059</v>
      </c>
      <c r="J21" s="22">
        <f t="shared" si="2"/>
        <v>869.39</v>
      </c>
      <c r="K21" s="22">
        <v>869.39</v>
      </c>
      <c r="L21" s="24">
        <f t="shared" si="3"/>
        <v>0</v>
      </c>
      <c r="M21" s="25"/>
      <c r="N21" s="26"/>
    </row>
    <row r="22" spans="2:14">
      <c r="B22" s="19">
        <v>46059</v>
      </c>
      <c r="C22" s="20" t="s">
        <v>15</v>
      </c>
      <c r="D22" s="21" t="s">
        <v>1936</v>
      </c>
      <c r="E22" s="22">
        <v>11619.19</v>
      </c>
      <c r="F22" s="21" t="s">
        <v>17</v>
      </c>
      <c r="G22" s="21" t="s">
        <v>18</v>
      </c>
      <c r="H22" s="21" t="s">
        <v>1937</v>
      </c>
      <c r="I22" s="19">
        <v>46059</v>
      </c>
      <c r="J22" s="22">
        <f t="shared" si="2"/>
        <v>11619.19</v>
      </c>
      <c r="K22" s="22">
        <v>11619.19</v>
      </c>
      <c r="L22" s="24">
        <f t="shared" si="3"/>
        <v>0</v>
      </c>
      <c r="M22" s="25"/>
      <c r="N22" s="26"/>
    </row>
    <row r="23" spans="2:14">
      <c r="B23" s="19">
        <v>46059</v>
      </c>
      <c r="C23" s="20" t="s">
        <v>15</v>
      </c>
      <c r="D23" s="21" t="s">
        <v>1938</v>
      </c>
      <c r="E23" s="22">
        <v>839.3</v>
      </c>
      <c r="F23" s="21" t="s">
        <v>17</v>
      </c>
      <c r="G23" s="21" t="s">
        <v>21</v>
      </c>
      <c r="H23" s="21" t="s">
        <v>1939</v>
      </c>
      <c r="I23" s="19">
        <v>46059</v>
      </c>
      <c r="J23" s="22">
        <f t="shared" si="2"/>
        <v>839.3</v>
      </c>
      <c r="K23" s="22">
        <v>839.3</v>
      </c>
      <c r="L23" s="24">
        <f t="shared" si="3"/>
        <v>0</v>
      </c>
      <c r="M23" s="25"/>
      <c r="N23" s="26"/>
    </row>
    <row r="24" spans="2:14">
      <c r="B24" s="19">
        <v>46059</v>
      </c>
      <c r="C24" s="20" t="s">
        <v>15</v>
      </c>
      <c r="D24" s="21" t="s">
        <v>1940</v>
      </c>
      <c r="E24" s="22">
        <v>1131.67</v>
      </c>
      <c r="F24" s="23" t="s">
        <v>17</v>
      </c>
      <c r="G24" s="21" t="s">
        <v>21</v>
      </c>
      <c r="H24" s="21" t="s">
        <v>1941</v>
      </c>
      <c r="I24" s="19">
        <v>46059</v>
      </c>
      <c r="J24" s="22">
        <f t="shared" si="2"/>
        <v>1131.67</v>
      </c>
      <c r="K24" s="22">
        <v>1131.67</v>
      </c>
      <c r="L24" s="24">
        <f t="shared" si="3"/>
        <v>0</v>
      </c>
      <c r="M24" s="25"/>
      <c r="N24" s="26"/>
    </row>
    <row r="25" spans="2:14">
      <c r="B25" s="19">
        <v>46087</v>
      </c>
      <c r="C25" s="20" t="s">
        <v>15</v>
      </c>
      <c r="D25" s="21" t="s">
        <v>1942</v>
      </c>
      <c r="E25" s="22">
        <v>1381.83</v>
      </c>
      <c r="F25" s="23" t="s">
        <v>17</v>
      </c>
      <c r="G25" s="28" t="s">
        <v>18</v>
      </c>
      <c r="H25" s="23" t="s">
        <v>1943</v>
      </c>
      <c r="I25" s="19">
        <v>46087</v>
      </c>
      <c r="J25" s="22">
        <f t="shared" si="2"/>
        <v>1381.83</v>
      </c>
      <c r="K25" s="22">
        <v>1381.83</v>
      </c>
      <c r="L25" s="24">
        <f t="shared" si="3"/>
        <v>0</v>
      </c>
      <c r="M25" s="25"/>
      <c r="N25" s="26"/>
    </row>
    <row r="26" spans="2:14">
      <c r="B26" s="19">
        <v>46087</v>
      </c>
      <c r="C26" s="20" t="s">
        <v>15</v>
      </c>
      <c r="D26" s="21" t="s">
        <v>1944</v>
      </c>
      <c r="E26" s="22">
        <v>91.32</v>
      </c>
      <c r="F26" s="21" t="s">
        <v>29</v>
      </c>
      <c r="G26" s="21"/>
      <c r="H26" s="21" t="s">
        <v>1945</v>
      </c>
      <c r="I26" s="19">
        <v>46087</v>
      </c>
      <c r="J26" s="22">
        <f t="shared" si="2"/>
        <v>91.32</v>
      </c>
      <c r="K26" s="22">
        <v>91.32</v>
      </c>
      <c r="L26" s="24">
        <f t="shared" si="3"/>
        <v>0</v>
      </c>
      <c r="M26" s="25"/>
      <c r="N26" s="26"/>
    </row>
    <row r="27" spans="2:14">
      <c r="B27" s="19">
        <v>46087</v>
      </c>
      <c r="C27" s="20" t="s">
        <v>15</v>
      </c>
      <c r="D27" s="21" t="s">
        <v>1946</v>
      </c>
      <c r="E27" s="22">
        <v>67.7</v>
      </c>
      <c r="F27" s="21" t="s">
        <v>17</v>
      </c>
      <c r="G27" s="28" t="s">
        <v>18</v>
      </c>
      <c r="H27" s="21" t="s">
        <v>1947</v>
      </c>
      <c r="I27" s="19">
        <v>46087</v>
      </c>
      <c r="J27" s="22">
        <f t="shared" si="2"/>
        <v>67.7</v>
      </c>
      <c r="K27" s="22">
        <v>67.7</v>
      </c>
      <c r="L27" s="24">
        <f t="shared" si="3"/>
        <v>0</v>
      </c>
      <c r="M27" s="25"/>
      <c r="N27" s="26"/>
    </row>
    <row r="28" spans="2:14">
      <c r="B28" s="19">
        <v>46087</v>
      </c>
      <c r="C28" s="20" t="s">
        <v>15</v>
      </c>
      <c r="D28" s="21" t="s">
        <v>1948</v>
      </c>
      <c r="E28" s="22">
        <v>246.67</v>
      </c>
      <c r="F28" s="21" t="s">
        <v>17</v>
      </c>
      <c r="G28" s="28" t="s">
        <v>18</v>
      </c>
      <c r="H28" s="21" t="s">
        <v>1949</v>
      </c>
      <c r="I28" s="19">
        <v>46087</v>
      </c>
      <c r="J28" s="22">
        <f t="shared" si="2"/>
        <v>246.67</v>
      </c>
      <c r="K28" s="22">
        <v>246.67</v>
      </c>
      <c r="L28" s="24">
        <f t="shared" si="3"/>
        <v>0</v>
      </c>
      <c r="M28" s="25"/>
      <c r="N28" s="26"/>
    </row>
    <row r="29" spans="2:14">
      <c r="B29" s="56">
        <v>46087</v>
      </c>
      <c r="C29" s="57" t="s">
        <v>15</v>
      </c>
      <c r="D29" s="58" t="s">
        <v>1950</v>
      </c>
      <c r="E29" s="62">
        <v>904.29</v>
      </c>
      <c r="F29" s="58" t="s">
        <v>17</v>
      </c>
      <c r="G29" s="60" t="s">
        <v>21</v>
      </c>
      <c r="H29" s="58" t="s">
        <v>1951</v>
      </c>
      <c r="I29" s="56">
        <v>46087</v>
      </c>
      <c r="J29" s="62">
        <f t="shared" si="2"/>
        <v>904.29</v>
      </c>
      <c r="K29" s="62">
        <v>904.29</v>
      </c>
      <c r="L29" s="24">
        <f t="shared" si="3"/>
        <v>0</v>
      </c>
      <c r="M29" s="25"/>
      <c r="N29" s="26" t="s">
        <v>56</v>
      </c>
    </row>
    <row r="30" spans="2:14">
      <c r="B30" s="56">
        <v>46087</v>
      </c>
      <c r="C30" s="57" t="s">
        <v>15</v>
      </c>
      <c r="D30" s="58" t="s">
        <v>1952</v>
      </c>
      <c r="E30" s="62">
        <v>707.95</v>
      </c>
      <c r="F30" s="58" t="s">
        <v>1953</v>
      </c>
      <c r="G30" s="61"/>
      <c r="H30" s="58"/>
      <c r="I30" s="56">
        <v>46087</v>
      </c>
      <c r="J30" s="62">
        <f t="shared" si="2"/>
        <v>707.95</v>
      </c>
      <c r="K30" s="62">
        <v>707.95</v>
      </c>
      <c r="L30" s="24">
        <f t="shared" si="3"/>
        <v>0</v>
      </c>
      <c r="M30" s="25"/>
      <c r="N30" s="26" t="s">
        <v>56</v>
      </c>
    </row>
    <row r="31" spans="2:14">
      <c r="B31" s="19">
        <v>46118</v>
      </c>
      <c r="C31" s="20" t="s">
        <v>15</v>
      </c>
      <c r="D31" s="21" t="s">
        <v>1954</v>
      </c>
      <c r="E31" s="22">
        <v>116.35</v>
      </c>
      <c r="F31" s="21" t="s">
        <v>29</v>
      </c>
      <c r="G31" s="28"/>
      <c r="H31" s="21" t="s">
        <v>1955</v>
      </c>
      <c r="I31" s="19">
        <v>46118</v>
      </c>
      <c r="J31" s="22">
        <f t="shared" si="2"/>
        <v>116.35</v>
      </c>
      <c r="K31" s="22">
        <v>116.35</v>
      </c>
      <c r="L31" s="24">
        <f t="shared" si="3"/>
        <v>0</v>
      </c>
      <c r="M31" s="25"/>
      <c r="N31" s="26"/>
    </row>
    <row r="32" spans="2:14">
      <c r="B32" s="19">
        <v>46118</v>
      </c>
      <c r="C32" s="20" t="s">
        <v>15</v>
      </c>
      <c r="D32" s="21" t="s">
        <v>1956</v>
      </c>
      <c r="E32" s="22">
        <v>362.17</v>
      </c>
      <c r="F32" s="21" t="s">
        <v>17</v>
      </c>
      <c r="G32" s="28" t="s">
        <v>21</v>
      </c>
      <c r="H32" s="21" t="s">
        <v>1957</v>
      </c>
      <c r="I32" s="19">
        <v>46118</v>
      </c>
      <c r="J32" s="22">
        <f t="shared" si="2"/>
        <v>362.17</v>
      </c>
      <c r="K32" s="22">
        <v>362.17</v>
      </c>
      <c r="L32" s="24">
        <f t="shared" si="3"/>
        <v>0</v>
      </c>
      <c r="M32" s="25"/>
      <c r="N32" s="26"/>
    </row>
    <row r="33" spans="2:14">
      <c r="B33" s="19">
        <v>46118</v>
      </c>
      <c r="C33" s="20" t="s">
        <v>15</v>
      </c>
      <c r="D33" s="21" t="s">
        <v>1958</v>
      </c>
      <c r="E33" s="22">
        <v>1129.72</v>
      </c>
      <c r="F33" s="21" t="s">
        <v>17</v>
      </c>
      <c r="G33" s="28" t="s">
        <v>18</v>
      </c>
      <c r="H33" s="21" t="s">
        <v>1959</v>
      </c>
      <c r="I33" s="19">
        <v>46118</v>
      </c>
      <c r="J33" s="22">
        <f t="shared" si="2"/>
        <v>1129.72</v>
      </c>
      <c r="K33" s="22">
        <v>1129.72</v>
      </c>
      <c r="L33" s="24">
        <f t="shared" si="3"/>
        <v>0</v>
      </c>
      <c r="M33" s="25"/>
      <c r="N33" s="26"/>
    </row>
    <row r="34" spans="2:14">
      <c r="B34" s="19">
        <v>46118</v>
      </c>
      <c r="C34" s="20" t="s">
        <v>15</v>
      </c>
      <c r="D34" s="21" t="s">
        <v>1960</v>
      </c>
      <c r="E34" s="22">
        <v>221.89</v>
      </c>
      <c r="F34" s="21" t="s">
        <v>17</v>
      </c>
      <c r="G34" s="28" t="s">
        <v>18</v>
      </c>
      <c r="H34" s="21" t="s">
        <v>1961</v>
      </c>
      <c r="I34" s="19">
        <v>46118</v>
      </c>
      <c r="J34" s="22">
        <f t="shared" si="2"/>
        <v>221.89</v>
      </c>
      <c r="K34" s="22">
        <v>221.89</v>
      </c>
      <c r="L34" s="24">
        <f t="shared" si="3"/>
        <v>0</v>
      </c>
      <c r="M34" s="25"/>
      <c r="N34" s="26"/>
    </row>
    <row r="35" spans="2:14">
      <c r="B35" s="19">
        <v>46118</v>
      </c>
      <c r="C35" s="20" t="s">
        <v>15</v>
      </c>
      <c r="D35" s="21" t="s">
        <v>1962</v>
      </c>
      <c r="E35" s="22">
        <v>199.01</v>
      </c>
      <c r="F35" s="21" t="s">
        <v>17</v>
      </c>
      <c r="G35" s="28" t="s">
        <v>21</v>
      </c>
      <c r="H35" s="21" t="s">
        <v>1963</v>
      </c>
      <c r="I35" s="19">
        <v>46118</v>
      </c>
      <c r="J35" s="22">
        <f t="shared" si="2"/>
        <v>199.01</v>
      </c>
      <c r="K35" s="22">
        <v>199.01</v>
      </c>
      <c r="L35" s="24">
        <f t="shared" si="3"/>
        <v>0</v>
      </c>
      <c r="M35" s="25"/>
      <c r="N35" s="26"/>
    </row>
    <row r="36" spans="2:14">
      <c r="B36" s="19">
        <v>46118</v>
      </c>
      <c r="C36" s="20" t="s">
        <v>15</v>
      </c>
      <c r="D36" s="21" t="s">
        <v>1964</v>
      </c>
      <c r="E36" s="22">
        <v>648.63</v>
      </c>
      <c r="F36" s="21" t="s">
        <v>29</v>
      </c>
      <c r="G36" s="28"/>
      <c r="H36" s="21" t="s">
        <v>1965</v>
      </c>
      <c r="I36" s="19">
        <v>46118</v>
      </c>
      <c r="J36" s="22">
        <f t="shared" si="2"/>
        <v>648.63</v>
      </c>
      <c r="K36" s="22">
        <v>648.63</v>
      </c>
      <c r="L36" s="24">
        <f t="shared" si="3"/>
        <v>0</v>
      </c>
      <c r="M36" s="25"/>
      <c r="N36" s="26" t="s">
        <v>33</v>
      </c>
    </row>
    <row r="37" spans="2:14">
      <c r="B37" s="19">
        <v>46118</v>
      </c>
      <c r="C37" s="20" t="s">
        <v>15</v>
      </c>
      <c r="D37" s="21" t="s">
        <v>1966</v>
      </c>
      <c r="E37" s="22">
        <v>448.69</v>
      </c>
      <c r="F37" s="21" t="s">
        <v>29</v>
      </c>
      <c r="G37" s="28"/>
      <c r="H37" s="21" t="s">
        <v>1967</v>
      </c>
      <c r="I37" s="19">
        <v>46118</v>
      </c>
      <c r="J37" s="22">
        <f t="shared" si="2"/>
        <v>448.69</v>
      </c>
      <c r="K37" s="22">
        <v>448.69</v>
      </c>
      <c r="L37" s="24">
        <f t="shared" si="3"/>
        <v>0</v>
      </c>
      <c r="M37" s="25"/>
      <c r="N37" s="26" t="s">
        <v>39</v>
      </c>
    </row>
    <row r="38" spans="2:14">
      <c r="B38" s="19">
        <v>46118</v>
      </c>
      <c r="C38" s="20" t="s">
        <v>15</v>
      </c>
      <c r="D38" s="21" t="s">
        <v>1968</v>
      </c>
      <c r="E38" s="22">
        <v>45.34</v>
      </c>
      <c r="F38" s="21" t="s">
        <v>29</v>
      </c>
      <c r="G38" s="23"/>
      <c r="H38" s="21" t="s">
        <v>1969</v>
      </c>
      <c r="I38" s="19">
        <v>46118</v>
      </c>
      <c r="J38" s="22">
        <f t="shared" si="2"/>
        <v>45.34</v>
      </c>
      <c r="K38" s="22">
        <v>45.34</v>
      </c>
      <c r="L38" s="24">
        <f t="shared" si="3"/>
        <v>0</v>
      </c>
      <c r="M38" s="25"/>
      <c r="N38" s="26" t="s">
        <v>224</v>
      </c>
    </row>
    <row r="39" spans="2:14">
      <c r="B39" s="19">
        <v>46118</v>
      </c>
      <c r="C39" s="20" t="s">
        <v>15</v>
      </c>
      <c r="D39" s="21" t="s">
        <v>1970</v>
      </c>
      <c r="E39" s="22">
        <v>219.14</v>
      </c>
      <c r="F39" s="21" t="s">
        <v>17</v>
      </c>
      <c r="G39" s="28" t="s">
        <v>21</v>
      </c>
      <c r="H39" s="21" t="s">
        <v>1971</v>
      </c>
      <c r="I39" s="19">
        <v>46118</v>
      </c>
      <c r="J39" s="22">
        <f t="shared" si="2"/>
        <v>219.14</v>
      </c>
      <c r="K39" s="22">
        <v>219.14</v>
      </c>
      <c r="L39" s="24">
        <f t="shared" si="3"/>
        <v>0</v>
      </c>
      <c r="M39" s="25"/>
      <c r="N39" s="26"/>
    </row>
    <row r="40" spans="2:14">
      <c r="B40" s="19">
        <v>46118</v>
      </c>
      <c r="C40" s="20" t="s">
        <v>15</v>
      </c>
      <c r="D40" s="21" t="s">
        <v>1972</v>
      </c>
      <c r="E40" s="22">
        <v>1612.52</v>
      </c>
      <c r="F40" s="21" t="s">
        <v>17</v>
      </c>
      <c r="G40" s="28" t="s">
        <v>21</v>
      </c>
      <c r="H40" s="21" t="s">
        <v>1973</v>
      </c>
      <c r="I40" s="19">
        <v>46118</v>
      </c>
      <c r="J40" s="22">
        <f t="shared" si="2"/>
        <v>1612.52</v>
      </c>
      <c r="K40" s="22">
        <v>1612.52</v>
      </c>
      <c r="L40" s="24">
        <f t="shared" si="3"/>
        <v>0</v>
      </c>
      <c r="M40" s="25"/>
      <c r="N40" s="26" t="s">
        <v>33</v>
      </c>
    </row>
    <row r="41" spans="2:14">
      <c r="B41" s="56">
        <v>46118</v>
      </c>
      <c r="C41" s="57" t="s">
        <v>15</v>
      </c>
      <c r="D41" s="58" t="s">
        <v>1974</v>
      </c>
      <c r="E41" s="62">
        <v>1523.44</v>
      </c>
      <c r="F41" s="58" t="s">
        <v>17</v>
      </c>
      <c r="G41" s="61" t="s">
        <v>21</v>
      </c>
      <c r="H41" s="58" t="s">
        <v>1975</v>
      </c>
      <c r="I41" s="56">
        <v>46118</v>
      </c>
      <c r="J41" s="62">
        <f t="shared" si="2"/>
        <v>1523.44</v>
      </c>
      <c r="K41" s="62">
        <v>1523.44</v>
      </c>
      <c r="L41" s="24">
        <f t="shared" si="3"/>
        <v>0</v>
      </c>
      <c r="M41" s="25"/>
      <c r="N41" s="26" t="s">
        <v>56</v>
      </c>
    </row>
    <row r="42" spans="2:14">
      <c r="B42" s="56">
        <v>46118</v>
      </c>
      <c r="C42" s="57" t="s">
        <v>15</v>
      </c>
      <c r="D42" s="58" t="s">
        <v>1976</v>
      </c>
      <c r="E42" s="62">
        <v>674.19</v>
      </c>
      <c r="F42" s="58" t="s">
        <v>17</v>
      </c>
      <c r="G42" s="61" t="s">
        <v>21</v>
      </c>
      <c r="H42" s="58" t="s">
        <v>1977</v>
      </c>
      <c r="I42" s="56">
        <v>46118</v>
      </c>
      <c r="J42" s="62">
        <f t="shared" si="2"/>
        <v>674.19</v>
      </c>
      <c r="K42" s="62">
        <v>2106.84</v>
      </c>
      <c r="L42" s="24">
        <f t="shared" si="3"/>
        <v>-1432.65</v>
      </c>
      <c r="M42" s="25" t="s">
        <v>1978</v>
      </c>
      <c r="N42" s="26" t="s">
        <v>56</v>
      </c>
    </row>
    <row r="43" spans="2:14">
      <c r="B43" s="19">
        <v>46148</v>
      </c>
      <c r="C43" s="20" t="s">
        <v>15</v>
      </c>
      <c r="D43" s="21" t="s">
        <v>1979</v>
      </c>
      <c r="E43" s="22">
        <v>344.07</v>
      </c>
      <c r="F43" s="21" t="s">
        <v>1980</v>
      </c>
      <c r="G43" s="28"/>
      <c r="H43" s="21" t="s">
        <v>1981</v>
      </c>
      <c r="I43" s="19">
        <v>46148</v>
      </c>
      <c r="J43" s="22">
        <f t="shared" si="2"/>
        <v>344.07</v>
      </c>
      <c r="K43" s="22">
        <v>344.07</v>
      </c>
      <c r="L43" s="24">
        <f t="shared" si="3"/>
        <v>0</v>
      </c>
      <c r="M43" s="25"/>
      <c r="N43" s="26"/>
    </row>
    <row r="44" spans="2:14">
      <c r="B44" s="19">
        <v>46148</v>
      </c>
      <c r="C44" s="20" t="s">
        <v>15</v>
      </c>
      <c r="D44" s="21" t="s">
        <v>1982</v>
      </c>
      <c r="E44" s="22">
        <v>337.61</v>
      </c>
      <c r="F44" s="21" t="s">
        <v>17</v>
      </c>
      <c r="G44" s="21" t="s">
        <v>18</v>
      </c>
      <c r="H44" s="21" t="s">
        <v>1983</v>
      </c>
      <c r="I44" s="19">
        <v>46148</v>
      </c>
      <c r="J44" s="22">
        <f t="shared" si="2"/>
        <v>337.61</v>
      </c>
      <c r="K44" s="22">
        <v>337.61</v>
      </c>
      <c r="L44" s="24">
        <f t="shared" si="3"/>
        <v>0</v>
      </c>
      <c r="M44" s="25"/>
      <c r="N44" s="26"/>
    </row>
    <row r="45" spans="2:14">
      <c r="B45" s="19">
        <v>46148</v>
      </c>
      <c r="C45" s="20" t="s">
        <v>15</v>
      </c>
      <c r="D45" s="21" t="s">
        <v>1984</v>
      </c>
      <c r="E45" s="22">
        <v>99.5</v>
      </c>
      <c r="F45" s="21" t="s">
        <v>29</v>
      </c>
      <c r="G45" s="21"/>
      <c r="H45" s="21" t="s">
        <v>1985</v>
      </c>
      <c r="I45" s="19">
        <v>46148</v>
      </c>
      <c r="J45" s="22">
        <f t="shared" si="2"/>
        <v>99.5</v>
      </c>
      <c r="K45" s="22">
        <v>99.5</v>
      </c>
      <c r="L45" s="24">
        <f t="shared" si="3"/>
        <v>0</v>
      </c>
      <c r="M45" s="25"/>
      <c r="N45" s="26"/>
    </row>
    <row r="46" spans="2:14">
      <c r="B46" s="19">
        <v>46148</v>
      </c>
      <c r="C46" s="20" t="s">
        <v>15</v>
      </c>
      <c r="D46" s="21" t="s">
        <v>1986</v>
      </c>
      <c r="E46" s="22">
        <v>93.45</v>
      </c>
      <c r="F46" s="21" t="s">
        <v>17</v>
      </c>
      <c r="G46" s="21" t="s">
        <v>18</v>
      </c>
      <c r="H46" s="21" t="s">
        <v>1987</v>
      </c>
      <c r="I46" s="19">
        <v>46148</v>
      </c>
      <c r="J46" s="22">
        <f t="shared" si="2"/>
        <v>93.45</v>
      </c>
      <c r="K46" s="22">
        <v>93.45</v>
      </c>
      <c r="L46" s="24">
        <f t="shared" si="3"/>
        <v>0</v>
      </c>
      <c r="M46" s="25"/>
      <c r="N46" s="26"/>
    </row>
    <row r="47" spans="2:14">
      <c r="B47" s="19">
        <v>46148</v>
      </c>
      <c r="C47" s="20" t="s">
        <v>15</v>
      </c>
      <c r="D47" s="21" t="s">
        <v>1988</v>
      </c>
      <c r="E47" s="22">
        <v>185.49</v>
      </c>
      <c r="F47" s="21" t="s">
        <v>17</v>
      </c>
      <c r="G47" s="28" t="s">
        <v>21</v>
      </c>
      <c r="H47" s="21" t="s">
        <v>1989</v>
      </c>
      <c r="I47" s="19">
        <v>46148</v>
      </c>
      <c r="J47" s="22">
        <f t="shared" si="2"/>
        <v>185.49</v>
      </c>
      <c r="K47" s="22">
        <v>185.49</v>
      </c>
      <c r="L47" s="24">
        <f t="shared" si="3"/>
        <v>0</v>
      </c>
      <c r="M47" s="25"/>
      <c r="N47" s="26" t="s">
        <v>33</v>
      </c>
    </row>
    <row r="48" spans="2:14">
      <c r="B48" s="19">
        <v>46148</v>
      </c>
      <c r="C48" s="20" t="s">
        <v>15</v>
      </c>
      <c r="D48" s="21" t="s">
        <v>1990</v>
      </c>
      <c r="E48" s="22">
        <v>3011.6</v>
      </c>
      <c r="F48" s="21" t="s">
        <v>17</v>
      </c>
      <c r="G48" s="28" t="s">
        <v>21</v>
      </c>
      <c r="H48" s="21" t="s">
        <v>1991</v>
      </c>
      <c r="I48" s="19">
        <v>46148</v>
      </c>
      <c r="J48" s="22">
        <f t="shared" si="2"/>
        <v>3011.6</v>
      </c>
      <c r="K48" s="22">
        <v>3011.6</v>
      </c>
      <c r="L48" s="24">
        <f t="shared" si="3"/>
        <v>0</v>
      </c>
      <c r="M48" s="25"/>
      <c r="N48" s="26"/>
    </row>
    <row r="49" spans="2:14">
      <c r="B49" s="19">
        <v>46179</v>
      </c>
      <c r="C49" s="20" t="s">
        <v>15</v>
      </c>
      <c r="D49" s="21" t="s">
        <v>1992</v>
      </c>
      <c r="E49" s="22">
        <v>39.84</v>
      </c>
      <c r="F49" s="21" t="s">
        <v>29</v>
      </c>
      <c r="G49" s="28"/>
      <c r="H49" s="21" t="s">
        <v>1993</v>
      </c>
      <c r="I49" s="19">
        <v>46179</v>
      </c>
      <c r="J49" s="22">
        <f t="shared" si="2"/>
        <v>39.84</v>
      </c>
      <c r="K49" s="22">
        <v>39.84</v>
      </c>
      <c r="L49" s="24">
        <f t="shared" si="3"/>
        <v>0</v>
      </c>
      <c r="M49" s="25"/>
      <c r="N49" s="26"/>
    </row>
    <row r="50" spans="2:14">
      <c r="B50" s="19">
        <v>46179</v>
      </c>
      <c r="C50" s="20" t="s">
        <v>15</v>
      </c>
      <c r="D50" s="21" t="s">
        <v>1994</v>
      </c>
      <c r="E50" s="22">
        <v>396.71</v>
      </c>
      <c r="F50" s="21" t="s">
        <v>17</v>
      </c>
      <c r="G50" s="28" t="s">
        <v>21</v>
      </c>
      <c r="H50" s="21" t="s">
        <v>1995</v>
      </c>
      <c r="I50" s="19">
        <v>46179</v>
      </c>
      <c r="J50" s="22">
        <f t="shared" si="2"/>
        <v>396.71</v>
      </c>
      <c r="K50" s="22">
        <v>396.71</v>
      </c>
      <c r="L50" s="24">
        <f t="shared" si="3"/>
        <v>0</v>
      </c>
      <c r="M50" s="25"/>
      <c r="N50" s="26"/>
    </row>
    <row r="51" spans="2:14">
      <c r="B51" s="64">
        <v>46179</v>
      </c>
      <c r="C51" s="65" t="s">
        <v>15</v>
      </c>
      <c r="D51" s="66" t="s">
        <v>1996</v>
      </c>
      <c r="E51" s="67">
        <v>1168.67</v>
      </c>
      <c r="F51" s="66" t="s">
        <v>17</v>
      </c>
      <c r="G51" s="66"/>
      <c r="H51" s="66" t="s">
        <v>1997</v>
      </c>
      <c r="I51" s="64">
        <v>46179</v>
      </c>
      <c r="J51" s="67">
        <f t="shared" si="2"/>
        <v>1168.67</v>
      </c>
      <c r="K51" s="67">
        <v>1168.67</v>
      </c>
      <c r="L51" s="24">
        <f t="shared" si="3"/>
        <v>0</v>
      </c>
      <c r="M51" s="25"/>
      <c r="N51" s="26" t="s">
        <v>366</v>
      </c>
    </row>
    <row r="52" spans="2:14">
      <c r="B52" s="56">
        <v>46179</v>
      </c>
      <c r="C52" s="57" t="s">
        <v>15</v>
      </c>
      <c r="D52" s="58" t="s">
        <v>1998</v>
      </c>
      <c r="E52" s="62">
        <v>2594.37</v>
      </c>
      <c r="F52" s="58" t="s">
        <v>17</v>
      </c>
      <c r="G52" s="58"/>
      <c r="H52" s="58" t="s">
        <v>1999</v>
      </c>
      <c r="I52" s="56">
        <v>46179</v>
      </c>
      <c r="J52" s="62">
        <f t="shared" si="2"/>
        <v>2594.37</v>
      </c>
      <c r="K52" s="62">
        <v>2594.37</v>
      </c>
      <c r="L52" s="24">
        <f t="shared" si="3"/>
        <v>0</v>
      </c>
      <c r="M52" s="25"/>
      <c r="N52" s="26" t="s">
        <v>56</v>
      </c>
    </row>
    <row r="53" spans="2:14">
      <c r="B53" s="19">
        <v>46240</v>
      </c>
      <c r="C53" s="20" t="s">
        <v>15</v>
      </c>
      <c r="D53" s="21" t="s">
        <v>2000</v>
      </c>
      <c r="E53" s="22">
        <v>258.76</v>
      </c>
      <c r="F53" s="21" t="s">
        <v>17</v>
      </c>
      <c r="G53" s="28" t="s">
        <v>21</v>
      </c>
      <c r="H53" s="21" t="s">
        <v>2001</v>
      </c>
      <c r="I53" s="19">
        <v>46240</v>
      </c>
      <c r="J53" s="22">
        <f t="shared" si="2"/>
        <v>258.76</v>
      </c>
      <c r="K53" s="22">
        <v>258.76</v>
      </c>
      <c r="L53" s="24">
        <f t="shared" si="3"/>
        <v>0</v>
      </c>
      <c r="M53" s="25"/>
      <c r="N53" s="26"/>
    </row>
    <row r="54" spans="2:14">
      <c r="B54" s="19">
        <v>46240</v>
      </c>
      <c r="C54" s="20" t="s">
        <v>15</v>
      </c>
      <c r="D54" s="21" t="s">
        <v>2002</v>
      </c>
      <c r="E54" s="22">
        <v>77.19</v>
      </c>
      <c r="F54" s="30" t="s">
        <v>29</v>
      </c>
      <c r="G54" s="23"/>
      <c r="H54" s="21" t="s">
        <v>2003</v>
      </c>
      <c r="I54" s="19">
        <v>46240</v>
      </c>
      <c r="J54" s="22">
        <f t="shared" si="2"/>
        <v>77.19</v>
      </c>
      <c r="K54" s="22">
        <v>77.19</v>
      </c>
      <c r="L54" s="24">
        <f t="shared" si="3"/>
        <v>0</v>
      </c>
      <c r="M54" s="25"/>
      <c r="N54" s="26"/>
    </row>
    <row r="55" spans="2:14">
      <c r="B55" s="19">
        <v>46240</v>
      </c>
      <c r="C55" s="20" t="s">
        <v>15</v>
      </c>
      <c r="D55" s="21" t="s">
        <v>2004</v>
      </c>
      <c r="E55" s="22">
        <v>52.94</v>
      </c>
      <c r="F55" s="21" t="s">
        <v>17</v>
      </c>
      <c r="G55" s="28" t="s">
        <v>21</v>
      </c>
      <c r="H55" s="21" t="s">
        <v>2005</v>
      </c>
      <c r="I55" s="19">
        <v>46240</v>
      </c>
      <c r="J55" s="22">
        <f t="shared" si="2"/>
        <v>52.94</v>
      </c>
      <c r="K55" s="22">
        <v>52.94</v>
      </c>
      <c r="L55" s="24">
        <f t="shared" si="3"/>
        <v>0</v>
      </c>
      <c r="M55" s="25"/>
      <c r="N55" s="26" t="s">
        <v>39</v>
      </c>
    </row>
    <row r="56" spans="2:14">
      <c r="B56" s="19">
        <v>46240</v>
      </c>
      <c r="C56" s="20" t="s">
        <v>15</v>
      </c>
      <c r="D56" s="21" t="s">
        <v>2006</v>
      </c>
      <c r="E56" s="22">
        <v>84.15</v>
      </c>
      <c r="F56" s="21" t="s">
        <v>17</v>
      </c>
      <c r="G56" s="28" t="s">
        <v>21</v>
      </c>
      <c r="H56" s="21" t="s">
        <v>2007</v>
      </c>
      <c r="I56" s="19">
        <v>46240</v>
      </c>
      <c r="J56" s="22">
        <f t="shared" si="2"/>
        <v>84.15</v>
      </c>
      <c r="K56" s="22">
        <v>84.15</v>
      </c>
      <c r="L56" s="24">
        <f t="shared" si="3"/>
        <v>0</v>
      </c>
      <c r="M56" s="25"/>
      <c r="N56" s="26" t="s">
        <v>39</v>
      </c>
    </row>
    <row r="57" spans="2:14">
      <c r="B57" s="19">
        <v>46240</v>
      </c>
      <c r="C57" s="20" t="s">
        <v>15</v>
      </c>
      <c r="D57" s="21" t="s">
        <v>2008</v>
      </c>
      <c r="E57" s="22">
        <v>194.78</v>
      </c>
      <c r="F57" s="21" t="s">
        <v>17</v>
      </c>
      <c r="G57" s="28" t="s">
        <v>21</v>
      </c>
      <c r="H57" s="21" t="s">
        <v>2009</v>
      </c>
      <c r="I57" s="19">
        <v>46240</v>
      </c>
      <c r="J57" s="22">
        <f t="shared" si="2"/>
        <v>194.78</v>
      </c>
      <c r="K57" s="22">
        <v>194.78</v>
      </c>
      <c r="L57" s="24">
        <f t="shared" si="3"/>
        <v>0</v>
      </c>
      <c r="M57" s="25"/>
      <c r="N57" s="26"/>
    </row>
    <row r="58" spans="2:14">
      <c r="B58" s="19">
        <v>46240</v>
      </c>
      <c r="C58" s="20" t="s">
        <v>64</v>
      </c>
      <c r="D58" s="21" t="s">
        <v>2010</v>
      </c>
      <c r="E58" s="22">
        <v>237.61</v>
      </c>
      <c r="F58" s="21" t="s">
        <v>29</v>
      </c>
      <c r="G58" s="21"/>
      <c r="H58" s="21" t="s">
        <v>2011</v>
      </c>
      <c r="I58" s="19">
        <v>46240</v>
      </c>
      <c r="J58" s="22">
        <f t="shared" si="2"/>
        <v>237.61</v>
      </c>
      <c r="K58" s="22">
        <v>237.61</v>
      </c>
      <c r="L58" s="24">
        <f t="shared" si="3"/>
        <v>0</v>
      </c>
      <c r="M58" s="25"/>
      <c r="N58" s="26"/>
    </row>
    <row r="59" spans="2:14">
      <c r="B59" s="19">
        <v>46271</v>
      </c>
      <c r="C59" s="20" t="s">
        <v>15</v>
      </c>
      <c r="D59" s="21" t="s">
        <v>2012</v>
      </c>
      <c r="E59" s="22">
        <v>620.53</v>
      </c>
      <c r="F59" s="21" t="s">
        <v>1546</v>
      </c>
      <c r="G59" s="23"/>
      <c r="H59" s="21" t="s">
        <v>2013</v>
      </c>
      <c r="I59" s="19">
        <v>46271</v>
      </c>
      <c r="J59" s="22">
        <f t="shared" si="2"/>
        <v>620.53</v>
      </c>
      <c r="K59" s="22">
        <v>620.53</v>
      </c>
      <c r="L59" s="24">
        <f t="shared" si="3"/>
        <v>0</v>
      </c>
      <c r="M59" s="25"/>
      <c r="N59" s="26"/>
    </row>
    <row r="60" spans="2:14">
      <c r="B60" s="19">
        <v>46271</v>
      </c>
      <c r="C60" s="20" t="s">
        <v>15</v>
      </c>
      <c r="D60" s="21" t="s">
        <v>2014</v>
      </c>
      <c r="E60" s="22">
        <v>463.63</v>
      </c>
      <c r="F60" s="21" t="s">
        <v>29</v>
      </c>
      <c r="G60" s="28"/>
      <c r="H60" s="21" t="s">
        <v>2015</v>
      </c>
      <c r="I60" s="19">
        <v>46271</v>
      </c>
      <c r="J60" s="22">
        <f t="shared" si="2"/>
        <v>463.63</v>
      </c>
      <c r="K60" s="22">
        <v>463.63</v>
      </c>
      <c r="L60" s="24">
        <f t="shared" si="3"/>
        <v>0</v>
      </c>
      <c r="M60" s="25"/>
      <c r="N60" s="26"/>
    </row>
    <row r="61" spans="2:14">
      <c r="B61" s="19">
        <v>46271</v>
      </c>
      <c r="C61" s="20" t="s">
        <v>15</v>
      </c>
      <c r="D61" s="21" t="s">
        <v>2016</v>
      </c>
      <c r="E61" s="22">
        <v>815.62</v>
      </c>
      <c r="F61" s="21" t="s">
        <v>17</v>
      </c>
      <c r="G61" s="28" t="s">
        <v>21</v>
      </c>
      <c r="H61" s="21" t="s">
        <v>2017</v>
      </c>
      <c r="I61" s="19">
        <v>46271</v>
      </c>
      <c r="J61" s="22">
        <f t="shared" si="2"/>
        <v>815.62</v>
      </c>
      <c r="K61" s="22">
        <v>815.62</v>
      </c>
      <c r="L61" s="24">
        <f t="shared" si="3"/>
        <v>0</v>
      </c>
      <c r="M61" s="25"/>
      <c r="N61" s="26"/>
    </row>
    <row r="62" spans="2:14">
      <c r="B62" s="19">
        <v>46271</v>
      </c>
      <c r="C62" s="20" t="s">
        <v>15</v>
      </c>
      <c r="D62" s="21" t="s">
        <v>2018</v>
      </c>
      <c r="E62" s="22">
        <v>357.94</v>
      </c>
      <c r="F62" s="21" t="s">
        <v>17</v>
      </c>
      <c r="G62" s="28" t="s">
        <v>37</v>
      </c>
      <c r="H62" s="21" t="s">
        <v>2019</v>
      </c>
      <c r="I62" s="19">
        <v>46271</v>
      </c>
      <c r="J62" s="22">
        <f t="shared" si="2"/>
        <v>357.94</v>
      </c>
      <c r="K62" s="22">
        <v>357.94</v>
      </c>
      <c r="L62" s="24">
        <f t="shared" si="3"/>
        <v>0</v>
      </c>
      <c r="M62" s="25"/>
      <c r="N62" s="26"/>
    </row>
    <row r="63" spans="2:14">
      <c r="B63" s="56">
        <v>46271</v>
      </c>
      <c r="C63" s="57" t="s">
        <v>15</v>
      </c>
      <c r="D63" s="58" t="s">
        <v>2020</v>
      </c>
      <c r="E63" s="62">
        <v>298.97</v>
      </c>
      <c r="F63" s="58" t="s">
        <v>17</v>
      </c>
      <c r="G63" s="60" t="s">
        <v>21</v>
      </c>
      <c r="H63" s="58" t="s">
        <v>2021</v>
      </c>
      <c r="I63" s="56">
        <v>46271</v>
      </c>
      <c r="J63" s="62">
        <f t="shared" si="2"/>
        <v>298.97</v>
      </c>
      <c r="K63" s="62">
        <v>298.97</v>
      </c>
      <c r="L63" s="24">
        <f t="shared" si="3"/>
        <v>0</v>
      </c>
      <c r="M63" s="25"/>
      <c r="N63" s="26" t="s">
        <v>56</v>
      </c>
    </row>
    <row r="64" spans="2:14">
      <c r="B64" s="19">
        <v>46301</v>
      </c>
      <c r="C64" s="20" t="s">
        <v>15</v>
      </c>
      <c r="D64" s="21" t="s">
        <v>2022</v>
      </c>
      <c r="E64" s="22">
        <v>1554.93</v>
      </c>
      <c r="F64" s="21" t="s">
        <v>17</v>
      </c>
      <c r="G64" s="23" t="s">
        <v>21</v>
      </c>
      <c r="H64" s="21" t="s">
        <v>2023</v>
      </c>
      <c r="I64" s="19">
        <v>46301</v>
      </c>
      <c r="J64" s="22">
        <f t="shared" si="2"/>
        <v>1554.93</v>
      </c>
      <c r="K64" s="22">
        <v>1554.93</v>
      </c>
      <c r="L64" s="24">
        <f t="shared" si="3"/>
        <v>0</v>
      </c>
      <c r="M64" s="25"/>
      <c r="N64" s="26"/>
    </row>
    <row r="65" spans="2:14">
      <c r="B65" s="19">
        <v>46301</v>
      </c>
      <c r="C65" s="20" t="s">
        <v>15</v>
      </c>
      <c r="D65" s="21" t="s">
        <v>2024</v>
      </c>
      <c r="E65" s="22">
        <v>389.95</v>
      </c>
      <c r="F65" s="21" t="s">
        <v>17</v>
      </c>
      <c r="G65" s="23" t="s">
        <v>21</v>
      </c>
      <c r="H65" s="21" t="s">
        <v>2025</v>
      </c>
      <c r="I65" s="19">
        <v>46301</v>
      </c>
      <c r="J65" s="22">
        <f t="shared" si="2"/>
        <v>389.95</v>
      </c>
      <c r="K65" s="22">
        <v>389.95</v>
      </c>
      <c r="L65" s="24">
        <f t="shared" si="3"/>
        <v>0</v>
      </c>
      <c r="M65" s="25"/>
      <c r="N65" s="26"/>
    </row>
    <row r="66" spans="2:14">
      <c r="B66" s="19">
        <v>46301</v>
      </c>
      <c r="C66" s="20" t="s">
        <v>15</v>
      </c>
      <c r="D66" s="21" t="s">
        <v>2026</v>
      </c>
      <c r="E66" s="22">
        <v>395.71</v>
      </c>
      <c r="F66" s="21" t="s">
        <v>29</v>
      </c>
      <c r="G66" s="23"/>
      <c r="H66" s="21" t="s">
        <v>2027</v>
      </c>
      <c r="I66" s="19">
        <v>46301</v>
      </c>
      <c r="J66" s="22">
        <f t="shared" si="2"/>
        <v>395.71</v>
      </c>
      <c r="K66" s="22">
        <v>395.71</v>
      </c>
      <c r="L66" s="24">
        <f t="shared" si="3"/>
        <v>0</v>
      </c>
      <c r="M66" s="25"/>
      <c r="N66" s="26" t="s">
        <v>23</v>
      </c>
    </row>
    <row r="67" spans="2:14">
      <c r="B67" s="19">
        <v>46301</v>
      </c>
      <c r="C67" s="20" t="s">
        <v>15</v>
      </c>
      <c r="D67" s="21" t="s">
        <v>2028</v>
      </c>
      <c r="E67" s="22">
        <v>147.56</v>
      </c>
      <c r="F67" s="21" t="s">
        <v>29</v>
      </c>
      <c r="G67" s="21"/>
      <c r="H67" s="21" t="s">
        <v>2029</v>
      </c>
      <c r="I67" s="19">
        <v>46301</v>
      </c>
      <c r="J67" s="22">
        <f t="shared" si="2"/>
        <v>147.56</v>
      </c>
      <c r="K67" s="22">
        <v>147.56</v>
      </c>
      <c r="L67" s="24">
        <f t="shared" si="3"/>
        <v>0</v>
      </c>
      <c r="M67" s="25"/>
      <c r="N67" s="24"/>
    </row>
    <row r="68" spans="2:14">
      <c r="B68" s="19">
        <v>46301</v>
      </c>
      <c r="C68" s="20" t="s">
        <v>15</v>
      </c>
      <c r="D68" s="21" t="s">
        <v>2030</v>
      </c>
      <c r="E68" s="22">
        <v>398.03</v>
      </c>
      <c r="F68" s="21" t="s">
        <v>17</v>
      </c>
      <c r="G68" s="23" t="s">
        <v>18</v>
      </c>
      <c r="H68" s="21" t="s">
        <v>2031</v>
      </c>
      <c r="I68" s="19">
        <v>46301</v>
      </c>
      <c r="J68" s="22">
        <f t="shared" si="2"/>
        <v>398.03</v>
      </c>
      <c r="K68" s="22">
        <v>398.03</v>
      </c>
      <c r="L68" s="24">
        <f t="shared" si="3"/>
        <v>0</v>
      </c>
      <c r="M68" s="25"/>
      <c r="N68" s="26"/>
    </row>
    <row r="69" spans="2:14">
      <c r="B69" s="19">
        <v>46301</v>
      </c>
      <c r="C69" s="20" t="s">
        <v>15</v>
      </c>
      <c r="D69" s="21" t="s">
        <v>2032</v>
      </c>
      <c r="E69" s="22">
        <v>183.5</v>
      </c>
      <c r="F69" s="21" t="s">
        <v>29</v>
      </c>
      <c r="G69" s="23"/>
      <c r="H69" s="21" t="s">
        <v>2033</v>
      </c>
      <c r="I69" s="19">
        <v>46301</v>
      </c>
      <c r="J69" s="22">
        <f t="shared" si="2"/>
        <v>183.5</v>
      </c>
      <c r="K69" s="22">
        <v>183.5</v>
      </c>
      <c r="L69" s="24">
        <f t="shared" si="3"/>
        <v>0</v>
      </c>
      <c r="M69" s="25"/>
      <c r="N69" s="26" t="s">
        <v>23</v>
      </c>
    </row>
    <row r="70" spans="2:14">
      <c r="B70" s="19">
        <v>46301</v>
      </c>
      <c r="C70" s="20" t="s">
        <v>15</v>
      </c>
      <c r="D70" s="21" t="s">
        <v>2034</v>
      </c>
      <c r="E70" s="22">
        <v>423.86</v>
      </c>
      <c r="F70" s="21" t="s">
        <v>17</v>
      </c>
      <c r="G70" s="23" t="s">
        <v>21</v>
      </c>
      <c r="H70" s="21" t="s">
        <v>2035</v>
      </c>
      <c r="I70" s="19">
        <v>46301</v>
      </c>
      <c r="J70" s="22">
        <f t="shared" si="2"/>
        <v>423.86</v>
      </c>
      <c r="K70" s="22">
        <v>423.86</v>
      </c>
      <c r="L70" s="24">
        <f t="shared" si="3"/>
        <v>0</v>
      </c>
      <c r="M70" s="25"/>
      <c r="N70" s="26"/>
    </row>
    <row r="71" spans="2:14">
      <c r="B71" s="19">
        <v>46301</v>
      </c>
      <c r="C71" s="20" t="s">
        <v>15</v>
      </c>
      <c r="D71" s="21" t="s">
        <v>2036</v>
      </c>
      <c r="E71" s="22">
        <v>2856.6</v>
      </c>
      <c r="F71" s="21" t="s">
        <v>17</v>
      </c>
      <c r="G71" s="23" t="s">
        <v>21</v>
      </c>
      <c r="H71" s="21" t="s">
        <v>2037</v>
      </c>
      <c r="I71" s="19">
        <v>46301</v>
      </c>
      <c r="J71" s="22">
        <f t="shared" si="2"/>
        <v>2856.6</v>
      </c>
      <c r="K71" s="22">
        <v>2856.6</v>
      </c>
      <c r="L71" s="24">
        <f t="shared" si="3"/>
        <v>0</v>
      </c>
      <c r="M71" s="25"/>
      <c r="N71" s="26"/>
    </row>
    <row r="72" spans="2:14">
      <c r="B72" s="19">
        <v>46301</v>
      </c>
      <c r="C72" s="20" t="s">
        <v>64</v>
      </c>
      <c r="D72" s="21" t="s">
        <v>2038</v>
      </c>
      <c r="E72" s="22">
        <v>170.74</v>
      </c>
      <c r="F72" s="21" t="s">
        <v>29</v>
      </c>
      <c r="G72" s="23"/>
      <c r="H72" s="21" t="s">
        <v>2039</v>
      </c>
      <c r="I72" s="19">
        <v>46301</v>
      </c>
      <c r="J72" s="22">
        <f t="shared" si="2"/>
        <v>170.74</v>
      </c>
      <c r="K72" s="22">
        <v>170.74</v>
      </c>
      <c r="L72" s="24">
        <f t="shared" si="3"/>
        <v>0</v>
      </c>
      <c r="M72" s="25"/>
      <c r="N72" s="26"/>
    </row>
    <row r="73" spans="2:14">
      <c r="B73" s="19">
        <v>46332</v>
      </c>
      <c r="C73" s="20" t="s">
        <v>15</v>
      </c>
      <c r="D73" s="21" t="s">
        <v>2040</v>
      </c>
      <c r="E73" s="22">
        <v>541.9</v>
      </c>
      <c r="F73" s="21" t="s">
        <v>17</v>
      </c>
      <c r="G73" s="23" t="s">
        <v>18</v>
      </c>
      <c r="H73" s="21" t="s">
        <v>2041</v>
      </c>
      <c r="I73" s="19">
        <v>46332</v>
      </c>
      <c r="J73" s="22">
        <f t="shared" si="2"/>
        <v>541.9</v>
      </c>
      <c r="K73" s="22">
        <v>541.9</v>
      </c>
      <c r="L73" s="24">
        <f t="shared" si="3"/>
        <v>0</v>
      </c>
      <c r="M73" s="25"/>
      <c r="N73" s="26"/>
    </row>
    <row r="74" spans="2:14">
      <c r="B74" s="19">
        <v>46332</v>
      </c>
      <c r="C74" s="20" t="s">
        <v>15</v>
      </c>
      <c r="D74" s="21" t="s">
        <v>2042</v>
      </c>
      <c r="E74" s="22">
        <v>53.9</v>
      </c>
      <c r="F74" s="21" t="s">
        <v>17</v>
      </c>
      <c r="G74" s="23" t="s">
        <v>21</v>
      </c>
      <c r="H74" s="21" t="s">
        <v>2043</v>
      </c>
      <c r="I74" s="19">
        <v>46332</v>
      </c>
      <c r="J74" s="22">
        <f t="shared" si="2"/>
        <v>53.9</v>
      </c>
      <c r="K74" s="22">
        <v>53.9</v>
      </c>
      <c r="L74" s="24">
        <f t="shared" si="3"/>
        <v>0</v>
      </c>
      <c r="M74" s="25"/>
      <c r="N74" s="26" t="s">
        <v>39</v>
      </c>
    </row>
    <row r="75" spans="2:14">
      <c r="B75" s="19">
        <v>46332</v>
      </c>
      <c r="C75" s="20" t="s">
        <v>15</v>
      </c>
      <c r="D75" s="21" t="s">
        <v>2044</v>
      </c>
      <c r="E75" s="22">
        <v>1670.56</v>
      </c>
      <c r="F75" s="21" t="s">
        <v>17</v>
      </c>
      <c r="G75" s="23" t="s">
        <v>21</v>
      </c>
      <c r="H75" s="21" t="s">
        <v>2045</v>
      </c>
      <c r="I75" s="19">
        <v>46332</v>
      </c>
      <c r="J75" s="22">
        <f t="shared" si="2"/>
        <v>1670.56</v>
      </c>
      <c r="K75" s="22">
        <v>1670.56</v>
      </c>
      <c r="L75" s="24">
        <f t="shared" si="3"/>
        <v>0</v>
      </c>
      <c r="M75" s="25"/>
      <c r="N75" s="26"/>
    </row>
    <row r="76" spans="2:14">
      <c r="B76" s="19">
        <v>46332</v>
      </c>
      <c r="C76" s="20" t="s">
        <v>15</v>
      </c>
      <c r="D76" s="21" t="s">
        <v>2046</v>
      </c>
      <c r="E76" s="22">
        <v>307.28</v>
      </c>
      <c r="F76" s="21" t="s">
        <v>17</v>
      </c>
      <c r="G76" s="23" t="s">
        <v>21</v>
      </c>
      <c r="H76" s="21" t="s">
        <v>2047</v>
      </c>
      <c r="I76" s="19">
        <v>46332</v>
      </c>
      <c r="J76" s="22">
        <f t="shared" si="2"/>
        <v>307.28</v>
      </c>
      <c r="K76" s="22">
        <v>307.28</v>
      </c>
      <c r="L76" s="24">
        <f t="shared" si="3"/>
        <v>0</v>
      </c>
      <c r="M76" s="25"/>
      <c r="N76" s="26" t="s">
        <v>33</v>
      </c>
    </row>
    <row r="77" spans="2:14">
      <c r="B77" s="56">
        <v>46332</v>
      </c>
      <c r="C77" s="57" t="s">
        <v>15</v>
      </c>
      <c r="D77" s="58" t="s">
        <v>2048</v>
      </c>
      <c r="E77" s="62">
        <v>554.16</v>
      </c>
      <c r="F77" s="58" t="s">
        <v>17</v>
      </c>
      <c r="G77" s="60" t="s">
        <v>21</v>
      </c>
      <c r="H77" s="58" t="s">
        <v>2049</v>
      </c>
      <c r="I77" s="56">
        <v>46332</v>
      </c>
      <c r="J77" s="62">
        <f t="shared" si="2"/>
        <v>554.16</v>
      </c>
      <c r="K77" s="62">
        <v>554.16</v>
      </c>
      <c r="L77" s="24">
        <f t="shared" si="3"/>
        <v>0</v>
      </c>
      <c r="M77" s="25"/>
      <c r="N77" s="26" t="s">
        <v>56</v>
      </c>
    </row>
    <row r="78" spans="2:14">
      <c r="B78" s="19">
        <v>46362</v>
      </c>
      <c r="C78" s="20" t="s">
        <v>15</v>
      </c>
      <c r="D78" s="21" t="s">
        <v>2050</v>
      </c>
      <c r="E78" s="22">
        <v>1158.7</v>
      </c>
      <c r="F78" s="21" t="s">
        <v>29</v>
      </c>
      <c r="G78" s="21"/>
      <c r="H78" s="21" t="s">
        <v>2051</v>
      </c>
      <c r="I78" s="19">
        <v>46362</v>
      </c>
      <c r="J78" s="22">
        <f t="shared" si="2"/>
        <v>1158.7</v>
      </c>
      <c r="K78" s="22">
        <v>1158.7</v>
      </c>
      <c r="L78" s="24">
        <f t="shared" si="3"/>
        <v>0</v>
      </c>
      <c r="M78" s="25"/>
      <c r="N78" s="26"/>
    </row>
    <row r="79" spans="2:14">
      <c r="B79" s="19">
        <v>46362</v>
      </c>
      <c r="C79" s="20" t="s">
        <v>15</v>
      </c>
      <c r="D79" s="21" t="s">
        <v>2052</v>
      </c>
      <c r="E79" s="22">
        <v>105.97</v>
      </c>
      <c r="F79" s="21" t="s">
        <v>29</v>
      </c>
      <c r="G79" s="21"/>
      <c r="H79" s="21" t="s">
        <v>2053</v>
      </c>
      <c r="I79" s="19">
        <v>46362</v>
      </c>
      <c r="J79" s="22">
        <f t="shared" si="2"/>
        <v>105.97</v>
      </c>
      <c r="K79" s="22">
        <v>105.97</v>
      </c>
      <c r="L79" s="24">
        <f t="shared" si="3"/>
        <v>0</v>
      </c>
      <c r="M79" s="25"/>
      <c r="N79" s="26"/>
    </row>
    <row r="80" spans="2:14">
      <c r="B80" s="19">
        <v>46362</v>
      </c>
      <c r="C80" s="20" t="s">
        <v>15</v>
      </c>
      <c r="D80" s="21" t="s">
        <v>2054</v>
      </c>
      <c r="E80" s="22">
        <v>248.34</v>
      </c>
      <c r="F80" s="21" t="s">
        <v>17</v>
      </c>
      <c r="G80" s="23" t="s">
        <v>21</v>
      </c>
      <c r="H80" s="21" t="s">
        <v>2055</v>
      </c>
      <c r="I80" s="19">
        <v>46362</v>
      </c>
      <c r="J80" s="22">
        <f t="shared" si="2"/>
        <v>248.34</v>
      </c>
      <c r="K80" s="22">
        <v>248.34</v>
      </c>
      <c r="L80" s="24">
        <f t="shared" si="3"/>
        <v>0</v>
      </c>
      <c r="M80" s="25"/>
      <c r="N80" s="26"/>
    </row>
    <row r="81" spans="2:14">
      <c r="B81" s="19">
        <v>46362</v>
      </c>
      <c r="C81" s="20" t="s">
        <v>15</v>
      </c>
      <c r="D81" s="21" t="s">
        <v>2056</v>
      </c>
      <c r="E81" s="22">
        <v>427.39</v>
      </c>
      <c r="F81" s="21" t="s">
        <v>17</v>
      </c>
      <c r="G81" s="23" t="s">
        <v>21</v>
      </c>
      <c r="H81" s="21" t="s">
        <v>2057</v>
      </c>
      <c r="I81" s="19">
        <v>46362</v>
      </c>
      <c r="J81" s="22">
        <f t="shared" si="2"/>
        <v>427.39</v>
      </c>
      <c r="K81" s="22">
        <v>427.39</v>
      </c>
      <c r="L81" s="24">
        <f t="shared" si="3"/>
        <v>0</v>
      </c>
      <c r="M81" s="25"/>
      <c r="N81" s="26"/>
    </row>
    <row r="82" spans="2:14">
      <c r="B82" s="19">
        <v>46362</v>
      </c>
      <c r="C82" s="20" t="s">
        <v>15</v>
      </c>
      <c r="D82" s="21" t="s">
        <v>2058</v>
      </c>
      <c r="E82" s="22">
        <v>207.32</v>
      </c>
      <c r="F82" s="21" t="s">
        <v>17</v>
      </c>
      <c r="G82" s="23" t="s">
        <v>21</v>
      </c>
      <c r="H82" s="21" t="s">
        <v>2059</v>
      </c>
      <c r="I82" s="19">
        <v>46362</v>
      </c>
      <c r="J82" s="22">
        <f t="shared" ref="J82:J103" si="4">E82</f>
        <v>207.32</v>
      </c>
      <c r="K82" s="22">
        <v>207.32</v>
      </c>
      <c r="L82" s="24">
        <f t="shared" ref="L82:L103" si="5">J82-K82</f>
        <v>0</v>
      </c>
      <c r="M82" s="25"/>
      <c r="N82" s="26"/>
    </row>
    <row r="83" spans="2:14">
      <c r="B83" s="19">
        <v>46362</v>
      </c>
      <c r="C83" s="20" t="s">
        <v>15</v>
      </c>
      <c r="D83" s="21" t="s">
        <v>2060</v>
      </c>
      <c r="E83" s="22">
        <v>654.05</v>
      </c>
      <c r="F83" s="21" t="s">
        <v>17</v>
      </c>
      <c r="G83" s="23" t="s">
        <v>21</v>
      </c>
      <c r="H83" s="21" t="s">
        <v>2061</v>
      </c>
      <c r="I83" s="19">
        <v>46362</v>
      </c>
      <c r="J83" s="22">
        <f t="shared" si="4"/>
        <v>654.05</v>
      </c>
      <c r="K83" s="22">
        <v>654.05</v>
      </c>
      <c r="L83" s="24">
        <f t="shared" si="5"/>
        <v>0</v>
      </c>
      <c r="M83" s="25"/>
      <c r="N83" s="26"/>
    </row>
    <row r="84" spans="2:14">
      <c r="B84" s="19">
        <v>46362</v>
      </c>
      <c r="C84" s="20" t="s">
        <v>64</v>
      </c>
      <c r="D84" s="21" t="s">
        <v>2062</v>
      </c>
      <c r="E84" s="22">
        <v>206.05</v>
      </c>
      <c r="F84" s="21" t="s">
        <v>17</v>
      </c>
      <c r="G84" s="23" t="s">
        <v>21</v>
      </c>
      <c r="H84" s="21" t="s">
        <v>2063</v>
      </c>
      <c r="I84" s="19">
        <v>46362</v>
      </c>
      <c r="J84" s="22">
        <f t="shared" si="4"/>
        <v>206.05</v>
      </c>
      <c r="K84" s="22">
        <v>206.05</v>
      </c>
      <c r="L84" s="24">
        <f t="shared" si="5"/>
        <v>0</v>
      </c>
      <c r="M84" s="25"/>
      <c r="N84" s="26"/>
    </row>
    <row r="85" spans="2:14">
      <c r="B85" s="56">
        <v>46362</v>
      </c>
      <c r="C85" s="57" t="s">
        <v>15</v>
      </c>
      <c r="D85" s="58" t="s">
        <v>2064</v>
      </c>
      <c r="E85" s="62">
        <v>1432.65</v>
      </c>
      <c r="F85" s="58" t="s">
        <v>17</v>
      </c>
      <c r="G85" s="60" t="s">
        <v>21</v>
      </c>
      <c r="H85" s="58" t="s">
        <v>1977</v>
      </c>
      <c r="I85" s="56">
        <v>46362</v>
      </c>
      <c r="J85" s="62">
        <f t="shared" si="4"/>
        <v>1432.65</v>
      </c>
      <c r="K85" s="62">
        <v>2106.84</v>
      </c>
      <c r="L85" s="24">
        <f t="shared" si="5"/>
        <v>-674.19</v>
      </c>
      <c r="M85" s="25"/>
      <c r="N85" s="26" t="s">
        <v>56</v>
      </c>
    </row>
    <row r="86" spans="2:14">
      <c r="B86" s="19" t="s">
        <v>2065</v>
      </c>
      <c r="C86" s="20" t="s">
        <v>15</v>
      </c>
      <c r="D86" s="21" t="s">
        <v>2066</v>
      </c>
      <c r="E86" s="22">
        <v>211.93</v>
      </c>
      <c r="F86" s="21" t="s">
        <v>17</v>
      </c>
      <c r="G86" s="21" t="s">
        <v>21</v>
      </c>
      <c r="H86" s="21" t="s">
        <v>2067</v>
      </c>
      <c r="I86" s="19" t="s">
        <v>2065</v>
      </c>
      <c r="J86" s="22">
        <f t="shared" si="4"/>
        <v>211.93</v>
      </c>
      <c r="K86" s="22">
        <v>211.93</v>
      </c>
      <c r="L86" s="24">
        <f t="shared" si="5"/>
        <v>0</v>
      </c>
      <c r="M86" s="25"/>
      <c r="N86" s="26" t="s">
        <v>33</v>
      </c>
    </row>
    <row r="87" spans="2:14">
      <c r="B87" s="19" t="s">
        <v>2065</v>
      </c>
      <c r="C87" s="20" t="s">
        <v>15</v>
      </c>
      <c r="D87" s="21" t="s">
        <v>2068</v>
      </c>
      <c r="E87" s="22">
        <v>103.66</v>
      </c>
      <c r="F87" s="21" t="s">
        <v>17</v>
      </c>
      <c r="G87" s="21" t="s">
        <v>18</v>
      </c>
      <c r="H87" s="21" t="s">
        <v>2069</v>
      </c>
      <c r="I87" s="19" t="s">
        <v>2065</v>
      </c>
      <c r="J87" s="22">
        <f t="shared" si="4"/>
        <v>103.66</v>
      </c>
      <c r="K87" s="22">
        <v>103.66</v>
      </c>
      <c r="L87" s="24">
        <f t="shared" si="5"/>
        <v>0</v>
      </c>
      <c r="M87" s="25"/>
      <c r="N87" s="26" t="s">
        <v>23</v>
      </c>
    </row>
    <row r="88" spans="2:14">
      <c r="B88" s="19" t="s">
        <v>2065</v>
      </c>
      <c r="C88" s="20" t="s">
        <v>15</v>
      </c>
      <c r="D88" s="21" t="s">
        <v>2070</v>
      </c>
      <c r="E88" s="22">
        <v>165.97</v>
      </c>
      <c r="F88" s="21" t="s">
        <v>17</v>
      </c>
      <c r="G88" s="21" t="s">
        <v>18</v>
      </c>
      <c r="H88" s="21" t="s">
        <v>2071</v>
      </c>
      <c r="I88" s="19" t="s">
        <v>2065</v>
      </c>
      <c r="J88" s="22">
        <f t="shared" si="4"/>
        <v>165.97</v>
      </c>
      <c r="K88" s="22">
        <v>165.97</v>
      </c>
      <c r="L88" s="24">
        <f t="shared" si="5"/>
        <v>0</v>
      </c>
      <c r="M88" s="25"/>
      <c r="N88" s="26" t="s">
        <v>944</v>
      </c>
    </row>
    <row r="89" spans="2:14">
      <c r="B89" s="19" t="s">
        <v>2065</v>
      </c>
      <c r="C89" s="20" t="s">
        <v>15</v>
      </c>
      <c r="D89" s="21" t="s">
        <v>2072</v>
      </c>
      <c r="E89" s="22">
        <v>1942.11</v>
      </c>
      <c r="F89" s="21" t="s">
        <v>17</v>
      </c>
      <c r="G89" s="21" t="s">
        <v>21</v>
      </c>
      <c r="H89" s="21" t="s">
        <v>2073</v>
      </c>
      <c r="I89" s="19" t="s">
        <v>2065</v>
      </c>
      <c r="J89" s="22">
        <f t="shared" si="4"/>
        <v>1942.11</v>
      </c>
      <c r="K89" s="22">
        <v>1942.11</v>
      </c>
      <c r="L89" s="24">
        <f t="shared" si="5"/>
        <v>0</v>
      </c>
      <c r="M89" s="24"/>
      <c r="N89" s="26" t="s">
        <v>56</v>
      </c>
    </row>
    <row r="90" spans="2:14">
      <c r="B90" s="19" t="s">
        <v>2065</v>
      </c>
      <c r="C90" s="20" t="s">
        <v>15</v>
      </c>
      <c r="D90" s="21" t="s">
        <v>2074</v>
      </c>
      <c r="E90" s="22">
        <v>814.99</v>
      </c>
      <c r="F90" s="21" t="s">
        <v>17</v>
      </c>
      <c r="G90" s="21" t="s">
        <v>21</v>
      </c>
      <c r="H90" s="21" t="s">
        <v>2075</v>
      </c>
      <c r="I90" s="19" t="s">
        <v>2065</v>
      </c>
      <c r="J90" s="22">
        <f t="shared" si="4"/>
        <v>814.99</v>
      </c>
      <c r="K90" s="22">
        <v>814.99</v>
      </c>
      <c r="L90" s="24">
        <f t="shared" si="5"/>
        <v>0</v>
      </c>
      <c r="M90" s="25"/>
      <c r="N90" s="26" t="s">
        <v>56</v>
      </c>
    </row>
    <row r="91" spans="2:14">
      <c r="B91" s="19" t="s">
        <v>2076</v>
      </c>
      <c r="C91" s="20" t="s">
        <v>15</v>
      </c>
      <c r="D91" s="21" t="s">
        <v>2077</v>
      </c>
      <c r="E91" s="22">
        <v>186.31</v>
      </c>
      <c r="F91" s="21" t="s">
        <v>29</v>
      </c>
      <c r="G91" s="21"/>
      <c r="H91" s="21" t="s">
        <v>2078</v>
      </c>
      <c r="I91" s="19" t="s">
        <v>2076</v>
      </c>
      <c r="J91" s="22">
        <f t="shared" si="4"/>
        <v>186.31</v>
      </c>
      <c r="K91" s="22">
        <v>166.31</v>
      </c>
      <c r="L91" s="24">
        <f t="shared" si="5"/>
        <v>20</v>
      </c>
      <c r="M91" s="25"/>
      <c r="N91" s="26" t="s">
        <v>23</v>
      </c>
    </row>
    <row r="92" spans="2:14">
      <c r="B92" s="19"/>
      <c r="C92" s="20"/>
      <c r="D92" s="21"/>
      <c r="E92" s="22"/>
      <c r="F92" s="21" t="s">
        <v>29</v>
      </c>
      <c r="G92" s="21"/>
      <c r="H92" s="21" t="s">
        <v>2079</v>
      </c>
      <c r="I92" s="19" t="s">
        <v>2080</v>
      </c>
      <c r="J92" s="22">
        <f t="shared" si="4"/>
        <v>0</v>
      </c>
      <c r="K92" s="22">
        <v>20</v>
      </c>
      <c r="L92" s="24">
        <f t="shared" si="5"/>
        <v>-20</v>
      </c>
      <c r="M92" s="25"/>
      <c r="N92" s="26"/>
    </row>
    <row r="93" spans="2:14">
      <c r="B93" s="19" t="s">
        <v>2076</v>
      </c>
      <c r="C93" s="20" t="s">
        <v>15</v>
      </c>
      <c r="D93" s="21" t="s">
        <v>2081</v>
      </c>
      <c r="E93" s="22">
        <v>646.31</v>
      </c>
      <c r="F93" s="21" t="s">
        <v>29</v>
      </c>
      <c r="G93" s="21"/>
      <c r="H93" s="21" t="s">
        <v>2082</v>
      </c>
      <c r="I93" s="19" t="s">
        <v>2076</v>
      </c>
      <c r="J93" s="22">
        <f t="shared" si="4"/>
        <v>646.31</v>
      </c>
      <c r="K93" s="22">
        <v>646.31</v>
      </c>
      <c r="L93" s="24">
        <f t="shared" si="5"/>
        <v>0</v>
      </c>
      <c r="M93" s="25"/>
      <c r="N93" s="26"/>
    </row>
    <row r="94" spans="2:14">
      <c r="B94" s="19" t="s">
        <v>2076</v>
      </c>
      <c r="C94" s="20" t="s">
        <v>15</v>
      </c>
      <c r="D94" s="21" t="s">
        <v>2083</v>
      </c>
      <c r="E94" s="22">
        <v>646.31</v>
      </c>
      <c r="F94" s="21" t="s">
        <v>29</v>
      </c>
      <c r="G94" s="21"/>
      <c r="H94" s="21" t="s">
        <v>2084</v>
      </c>
      <c r="I94" s="19" t="s">
        <v>2076</v>
      </c>
      <c r="J94" s="22">
        <f t="shared" si="4"/>
        <v>646.31</v>
      </c>
      <c r="K94" s="22">
        <v>646.31</v>
      </c>
      <c r="L94" s="24">
        <f t="shared" si="5"/>
        <v>0</v>
      </c>
      <c r="M94" s="25"/>
      <c r="N94" s="26"/>
    </row>
    <row r="95" spans="2:14">
      <c r="B95" s="19" t="s">
        <v>2076</v>
      </c>
      <c r="C95" s="20" t="s">
        <v>15</v>
      </c>
      <c r="D95" s="21" t="s">
        <v>2085</v>
      </c>
      <c r="E95" s="22">
        <v>250.9</v>
      </c>
      <c r="F95" s="21" t="s">
        <v>17</v>
      </c>
      <c r="G95" s="21" t="s">
        <v>18</v>
      </c>
      <c r="H95" s="21" t="s">
        <v>2086</v>
      </c>
      <c r="I95" s="19" t="s">
        <v>2076</v>
      </c>
      <c r="J95" s="22">
        <f t="shared" si="4"/>
        <v>250.9</v>
      </c>
      <c r="K95" s="22">
        <v>250.9</v>
      </c>
      <c r="L95" s="24">
        <f t="shared" si="5"/>
        <v>0</v>
      </c>
      <c r="M95" s="25"/>
      <c r="N95" s="26"/>
    </row>
    <row r="96" spans="2:14">
      <c r="B96" s="19" t="s">
        <v>2076</v>
      </c>
      <c r="C96" s="20" t="s">
        <v>15</v>
      </c>
      <c r="D96" s="21" t="s">
        <v>2087</v>
      </c>
      <c r="E96" s="22">
        <v>284.59</v>
      </c>
      <c r="F96" s="21" t="s">
        <v>17</v>
      </c>
      <c r="G96" s="21" t="s">
        <v>18</v>
      </c>
      <c r="H96" s="21" t="s">
        <v>2088</v>
      </c>
      <c r="I96" s="19" t="s">
        <v>2076</v>
      </c>
      <c r="J96" s="22">
        <f t="shared" si="4"/>
        <v>284.59</v>
      </c>
      <c r="K96" s="22">
        <v>284.59</v>
      </c>
      <c r="L96" s="24">
        <f t="shared" si="5"/>
        <v>0</v>
      </c>
      <c r="M96" s="25"/>
      <c r="N96" s="26" t="s">
        <v>23</v>
      </c>
    </row>
    <row r="97" spans="2:14">
      <c r="B97" s="19" t="s">
        <v>2076</v>
      </c>
      <c r="C97" s="20" t="s">
        <v>15</v>
      </c>
      <c r="D97" s="21" t="s">
        <v>2089</v>
      </c>
      <c r="E97" s="22">
        <v>443.79</v>
      </c>
      <c r="F97" s="21" t="s">
        <v>17</v>
      </c>
      <c r="G97" s="21" t="s">
        <v>21</v>
      </c>
      <c r="H97" s="21" t="s">
        <v>2090</v>
      </c>
      <c r="I97" s="19" t="s">
        <v>2076</v>
      </c>
      <c r="J97" s="22">
        <f t="shared" si="4"/>
        <v>443.79</v>
      </c>
      <c r="K97" s="22">
        <v>443.79</v>
      </c>
      <c r="L97" s="24">
        <f t="shared" si="5"/>
        <v>0</v>
      </c>
      <c r="M97" s="25"/>
      <c r="N97" s="26"/>
    </row>
    <row r="98" spans="2:14">
      <c r="B98" s="19" t="s">
        <v>2076</v>
      </c>
      <c r="C98" s="20" t="s">
        <v>15</v>
      </c>
      <c r="D98" s="21" t="s">
        <v>2091</v>
      </c>
      <c r="E98" s="22">
        <v>428.59</v>
      </c>
      <c r="F98" s="21" t="s">
        <v>17</v>
      </c>
      <c r="G98" s="21" t="s">
        <v>21</v>
      </c>
      <c r="H98" s="21" t="s">
        <v>2092</v>
      </c>
      <c r="I98" s="19" t="s">
        <v>2076</v>
      </c>
      <c r="J98" s="22">
        <f t="shared" si="4"/>
        <v>428.59</v>
      </c>
      <c r="K98" s="22">
        <v>428.59</v>
      </c>
      <c r="L98" s="24">
        <f t="shared" si="5"/>
        <v>0</v>
      </c>
      <c r="M98" s="25"/>
      <c r="N98" s="26" t="s">
        <v>33</v>
      </c>
    </row>
    <row r="99" spans="2:14">
      <c r="B99" s="19" t="s">
        <v>2076</v>
      </c>
      <c r="C99" s="20" t="s">
        <v>15</v>
      </c>
      <c r="D99" s="21" t="s">
        <v>2093</v>
      </c>
      <c r="E99" s="22">
        <v>83.53</v>
      </c>
      <c r="F99" s="21" t="s">
        <v>2094</v>
      </c>
      <c r="G99" s="21"/>
      <c r="H99" s="21"/>
      <c r="I99" s="19" t="s">
        <v>2076</v>
      </c>
      <c r="J99" s="22">
        <f t="shared" si="4"/>
        <v>83.53</v>
      </c>
      <c r="K99" s="22">
        <v>83.53</v>
      </c>
      <c r="L99" s="24">
        <f t="shared" si="5"/>
        <v>0</v>
      </c>
      <c r="M99" s="25"/>
      <c r="N99" s="26" t="s">
        <v>366</v>
      </c>
    </row>
    <row r="100" spans="2:14">
      <c r="B100" s="19" t="s">
        <v>2076</v>
      </c>
      <c r="C100" s="20" t="s">
        <v>15</v>
      </c>
      <c r="D100" s="21" t="s">
        <v>2095</v>
      </c>
      <c r="E100" s="22">
        <v>544.4</v>
      </c>
      <c r="F100" s="21" t="s">
        <v>17</v>
      </c>
      <c r="G100" s="21" t="s">
        <v>21</v>
      </c>
      <c r="H100" s="21" t="s">
        <v>2096</v>
      </c>
      <c r="I100" s="19" t="s">
        <v>2076</v>
      </c>
      <c r="J100" s="22">
        <f t="shared" si="4"/>
        <v>544.4</v>
      </c>
      <c r="K100" s="22">
        <v>544.4</v>
      </c>
      <c r="L100" s="24">
        <f t="shared" si="5"/>
        <v>0</v>
      </c>
      <c r="M100" s="25"/>
      <c r="N100" s="26" t="s">
        <v>56</v>
      </c>
    </row>
    <row r="101" spans="2:14">
      <c r="B101" s="19" t="s">
        <v>2080</v>
      </c>
      <c r="C101" s="20" t="s">
        <v>15</v>
      </c>
      <c r="D101" s="21" t="s">
        <v>2097</v>
      </c>
      <c r="E101" s="22">
        <v>96.79</v>
      </c>
      <c r="F101" s="21" t="s">
        <v>17</v>
      </c>
      <c r="G101" s="21" t="s">
        <v>21</v>
      </c>
      <c r="H101" s="21" t="s">
        <v>2098</v>
      </c>
      <c r="I101" s="19" t="s">
        <v>2080</v>
      </c>
      <c r="J101" s="22">
        <f t="shared" si="4"/>
        <v>96.79</v>
      </c>
      <c r="K101" s="22">
        <v>96.79</v>
      </c>
      <c r="L101" s="24">
        <f t="shared" si="5"/>
        <v>0</v>
      </c>
      <c r="M101" s="25"/>
      <c r="N101" s="26"/>
    </row>
    <row r="102" spans="2:14">
      <c r="B102" s="19" t="s">
        <v>2080</v>
      </c>
      <c r="C102" s="20" t="s">
        <v>15</v>
      </c>
      <c r="D102" s="21" t="s">
        <v>2099</v>
      </c>
      <c r="E102" s="22">
        <v>228.54</v>
      </c>
      <c r="F102" s="21" t="s">
        <v>17</v>
      </c>
      <c r="G102" s="21" t="s">
        <v>18</v>
      </c>
      <c r="H102" s="21" t="s">
        <v>2100</v>
      </c>
      <c r="I102" s="19" t="s">
        <v>2080</v>
      </c>
      <c r="J102" s="22">
        <f t="shared" si="4"/>
        <v>228.54</v>
      </c>
      <c r="K102" s="22">
        <v>228.54</v>
      </c>
      <c r="L102" s="24">
        <f t="shared" si="5"/>
        <v>0</v>
      </c>
      <c r="M102" s="25"/>
      <c r="N102" s="26"/>
    </row>
    <row r="103" spans="2:14">
      <c r="B103" s="19" t="s">
        <v>2080</v>
      </c>
      <c r="C103" s="20" t="s">
        <v>15</v>
      </c>
      <c r="D103" s="21" t="s">
        <v>2101</v>
      </c>
      <c r="E103" s="22">
        <v>418.86</v>
      </c>
      <c r="F103" s="21" t="s">
        <v>29</v>
      </c>
      <c r="G103" s="21"/>
      <c r="H103" s="21" t="s">
        <v>2102</v>
      </c>
      <c r="I103" s="19" t="s">
        <v>2080</v>
      </c>
      <c r="J103" s="22">
        <f t="shared" si="4"/>
        <v>418.86</v>
      </c>
      <c r="K103" s="22">
        <v>418.86</v>
      </c>
      <c r="L103" s="24">
        <f t="shared" si="5"/>
        <v>0</v>
      </c>
      <c r="M103" s="25"/>
      <c r="N103" s="26"/>
    </row>
    <row r="104" spans="2:14">
      <c r="B104" s="19"/>
      <c r="C104" s="20"/>
      <c r="D104" s="21"/>
      <c r="E104" s="22"/>
      <c r="F104" s="21" t="s">
        <v>29</v>
      </c>
      <c r="G104" s="21"/>
      <c r="H104" s="21" t="s">
        <v>2103</v>
      </c>
      <c r="I104" s="19"/>
      <c r="J104" s="22"/>
      <c r="K104" s="22"/>
      <c r="L104" s="24"/>
      <c r="M104" s="25"/>
      <c r="N104" s="26"/>
    </row>
    <row r="105" spans="2:14">
      <c r="B105" s="19" t="s">
        <v>2080</v>
      </c>
      <c r="C105" s="20" t="s">
        <v>15</v>
      </c>
      <c r="D105" s="21" t="s">
        <v>2104</v>
      </c>
      <c r="E105" s="22">
        <v>31.87</v>
      </c>
      <c r="F105" s="21" t="s">
        <v>17</v>
      </c>
      <c r="G105" s="21" t="s">
        <v>21</v>
      </c>
      <c r="H105" s="21" t="s">
        <v>2105</v>
      </c>
      <c r="I105" s="19" t="s">
        <v>2080</v>
      </c>
      <c r="J105" s="22">
        <f t="shared" ref="J105:J128" si="6">E105</f>
        <v>31.87</v>
      </c>
      <c r="K105" s="22">
        <v>31.87</v>
      </c>
      <c r="L105" s="24">
        <f t="shared" ref="L105:L139" si="7">J105-K105</f>
        <v>0</v>
      </c>
      <c r="M105" s="25"/>
      <c r="N105" s="26" t="s">
        <v>33</v>
      </c>
    </row>
    <row r="106" spans="2:14">
      <c r="B106" s="19" t="s">
        <v>2080</v>
      </c>
      <c r="C106" s="20" t="s">
        <v>15</v>
      </c>
      <c r="D106" s="21" t="s">
        <v>2106</v>
      </c>
      <c r="E106" s="22">
        <v>185.49</v>
      </c>
      <c r="F106" s="21" t="s">
        <v>17</v>
      </c>
      <c r="G106" s="21" t="s">
        <v>21</v>
      </c>
      <c r="H106" s="21" t="s">
        <v>2107</v>
      </c>
      <c r="I106" s="19" t="s">
        <v>2080</v>
      </c>
      <c r="J106" s="22">
        <f t="shared" si="6"/>
        <v>185.49</v>
      </c>
      <c r="K106" s="22">
        <v>185.49</v>
      </c>
      <c r="L106" s="24">
        <f t="shared" si="7"/>
        <v>0</v>
      </c>
      <c r="M106" s="25"/>
      <c r="N106" s="26" t="s">
        <v>33</v>
      </c>
    </row>
    <row r="107" spans="2:14">
      <c r="B107" s="19" t="s">
        <v>2080</v>
      </c>
      <c r="C107" s="20" t="s">
        <v>15</v>
      </c>
      <c r="D107" s="21" t="s">
        <v>2108</v>
      </c>
      <c r="E107" s="22">
        <v>35.05</v>
      </c>
      <c r="F107" s="21" t="s">
        <v>17</v>
      </c>
      <c r="G107" s="21" t="s">
        <v>18</v>
      </c>
      <c r="H107" s="21" t="s">
        <v>2109</v>
      </c>
      <c r="I107" s="19" t="s">
        <v>2080</v>
      </c>
      <c r="J107" s="22">
        <f t="shared" si="6"/>
        <v>35.05</v>
      </c>
      <c r="K107" s="22">
        <v>35.05</v>
      </c>
      <c r="L107" s="24">
        <f t="shared" si="7"/>
        <v>0</v>
      </c>
      <c r="M107" s="25"/>
      <c r="N107" s="26"/>
    </row>
    <row r="108" spans="2:14">
      <c r="B108" s="19" t="s">
        <v>2080</v>
      </c>
      <c r="C108" s="20" t="s">
        <v>15</v>
      </c>
      <c r="D108" s="21" t="s">
        <v>2110</v>
      </c>
      <c r="E108" s="22">
        <v>480.68</v>
      </c>
      <c r="F108" s="21" t="s">
        <v>17</v>
      </c>
      <c r="G108" s="21" t="s">
        <v>21</v>
      </c>
      <c r="H108" s="21" t="s">
        <v>2111</v>
      </c>
      <c r="I108" s="19" t="s">
        <v>2080</v>
      </c>
      <c r="J108" s="22">
        <f t="shared" si="6"/>
        <v>480.68</v>
      </c>
      <c r="K108" s="22">
        <v>480.68</v>
      </c>
      <c r="L108" s="24">
        <f t="shared" si="7"/>
        <v>0</v>
      </c>
      <c r="M108" s="25"/>
      <c r="N108" s="26"/>
    </row>
    <row r="109" spans="2:14">
      <c r="B109" s="19" t="s">
        <v>2080</v>
      </c>
      <c r="C109" s="20" t="s">
        <v>15</v>
      </c>
      <c r="D109" s="21" t="s">
        <v>2112</v>
      </c>
      <c r="E109" s="22">
        <v>280.87</v>
      </c>
      <c r="F109" s="21" t="s">
        <v>17</v>
      </c>
      <c r="G109" s="21" t="s">
        <v>21</v>
      </c>
      <c r="H109" s="21" t="s">
        <v>2098</v>
      </c>
      <c r="I109" s="19" t="s">
        <v>2080</v>
      </c>
      <c r="J109" s="22">
        <f t="shared" si="6"/>
        <v>280.87</v>
      </c>
      <c r="K109" s="22">
        <v>280.87</v>
      </c>
      <c r="L109" s="24">
        <f t="shared" si="7"/>
        <v>0</v>
      </c>
      <c r="M109" s="25"/>
      <c r="N109" s="26" t="s">
        <v>56</v>
      </c>
    </row>
    <row r="110" spans="2:14">
      <c r="B110" s="19" t="s">
        <v>2080</v>
      </c>
      <c r="C110" s="20" t="s">
        <v>15</v>
      </c>
      <c r="D110" s="21" t="s">
        <v>2113</v>
      </c>
      <c r="E110" s="22">
        <v>96.79</v>
      </c>
      <c r="F110" s="21" t="s">
        <v>1518</v>
      </c>
      <c r="G110" s="21"/>
      <c r="H110" s="21" t="s">
        <v>2114</v>
      </c>
      <c r="I110" s="19" t="s">
        <v>2080</v>
      </c>
      <c r="J110" s="22">
        <f t="shared" si="6"/>
        <v>96.79</v>
      </c>
      <c r="K110" s="22">
        <v>96.79</v>
      </c>
      <c r="L110" s="24">
        <f t="shared" si="7"/>
        <v>0</v>
      </c>
      <c r="M110" s="25"/>
      <c r="N110" s="26" t="s">
        <v>56</v>
      </c>
    </row>
    <row r="111" spans="2:14">
      <c r="B111" s="19" t="s">
        <v>2115</v>
      </c>
      <c r="C111" s="20" t="s">
        <v>15</v>
      </c>
      <c r="D111" s="21" t="s">
        <v>2116</v>
      </c>
      <c r="E111" s="22">
        <v>241.98</v>
      </c>
      <c r="F111" s="21" t="s">
        <v>17</v>
      </c>
      <c r="G111" s="21" t="s">
        <v>21</v>
      </c>
      <c r="H111" s="21" t="s">
        <v>2117</v>
      </c>
      <c r="I111" s="19" t="s">
        <v>2115</v>
      </c>
      <c r="J111" s="22">
        <f t="shared" si="6"/>
        <v>241.98</v>
      </c>
      <c r="K111" s="22">
        <v>241.98</v>
      </c>
      <c r="L111" s="24">
        <f t="shared" si="7"/>
        <v>0</v>
      </c>
      <c r="M111" s="25"/>
      <c r="N111" s="26"/>
    </row>
    <row r="112" spans="2:14">
      <c r="B112" s="19" t="s">
        <v>2115</v>
      </c>
      <c r="C112" s="20" t="s">
        <v>15</v>
      </c>
      <c r="D112" s="21" t="s">
        <v>2118</v>
      </c>
      <c r="E112" s="22">
        <v>381.09</v>
      </c>
      <c r="F112" s="21" t="s">
        <v>17</v>
      </c>
      <c r="G112" s="21" t="s">
        <v>21</v>
      </c>
      <c r="H112" s="68" t="s">
        <v>2119</v>
      </c>
      <c r="I112" s="19" t="s">
        <v>2115</v>
      </c>
      <c r="J112" s="22">
        <f t="shared" si="6"/>
        <v>381.09</v>
      </c>
      <c r="K112" s="22">
        <v>381.09</v>
      </c>
      <c r="L112" s="24">
        <f t="shared" si="7"/>
        <v>0</v>
      </c>
      <c r="M112" s="25"/>
      <c r="N112" s="26" t="s">
        <v>23</v>
      </c>
    </row>
    <row r="113" spans="2:14">
      <c r="B113" s="19" t="s">
        <v>2115</v>
      </c>
      <c r="C113" s="20" t="s">
        <v>15</v>
      </c>
      <c r="D113" s="21" t="s">
        <v>2120</v>
      </c>
      <c r="E113" s="22">
        <v>104.37</v>
      </c>
      <c r="F113" s="21" t="s">
        <v>17</v>
      </c>
      <c r="G113" s="21" t="s">
        <v>37</v>
      </c>
      <c r="H113" s="68" t="s">
        <v>2121</v>
      </c>
      <c r="I113" s="19" t="s">
        <v>2115</v>
      </c>
      <c r="J113" s="22">
        <f t="shared" si="6"/>
        <v>104.37</v>
      </c>
      <c r="K113" s="22">
        <v>104.37</v>
      </c>
      <c r="L113" s="24">
        <f t="shared" si="7"/>
        <v>0</v>
      </c>
      <c r="M113" s="25"/>
      <c r="N113" s="26"/>
    </row>
    <row r="114" spans="2:14">
      <c r="B114" s="19" t="s">
        <v>2115</v>
      </c>
      <c r="C114" s="20" t="s">
        <v>15</v>
      </c>
      <c r="D114" s="21" t="s">
        <v>2122</v>
      </c>
      <c r="E114" s="22">
        <v>99.5</v>
      </c>
      <c r="F114" s="21" t="s">
        <v>17</v>
      </c>
      <c r="G114" s="21" t="s">
        <v>21</v>
      </c>
      <c r="H114" s="21" t="s">
        <v>2123</v>
      </c>
      <c r="I114" s="19" t="s">
        <v>2115</v>
      </c>
      <c r="J114" s="22">
        <f t="shared" si="6"/>
        <v>99.5</v>
      </c>
      <c r="K114" s="22">
        <v>99.5</v>
      </c>
      <c r="L114" s="24">
        <f t="shared" si="7"/>
        <v>0</v>
      </c>
      <c r="M114" s="25"/>
      <c r="N114" s="26" t="s">
        <v>2124</v>
      </c>
    </row>
    <row r="115" spans="2:14">
      <c r="B115" s="19" t="s">
        <v>2115</v>
      </c>
      <c r="C115" s="20" t="s">
        <v>15</v>
      </c>
      <c r="D115" s="21" t="s">
        <v>2125</v>
      </c>
      <c r="E115" s="22">
        <v>350.46</v>
      </c>
      <c r="F115" s="21" t="s">
        <v>17</v>
      </c>
      <c r="G115" s="21" t="s">
        <v>21</v>
      </c>
      <c r="H115" s="21" t="s">
        <v>2126</v>
      </c>
      <c r="I115" s="19" t="s">
        <v>2115</v>
      </c>
      <c r="J115" s="22">
        <f t="shared" si="6"/>
        <v>350.46</v>
      </c>
      <c r="K115" s="22">
        <v>350.46</v>
      </c>
      <c r="L115" s="24">
        <f t="shared" si="7"/>
        <v>0</v>
      </c>
      <c r="M115" s="25"/>
      <c r="N115" s="26"/>
    </row>
    <row r="116" spans="2:14">
      <c r="B116" s="19" t="s">
        <v>2115</v>
      </c>
      <c r="C116" s="20" t="s">
        <v>15</v>
      </c>
      <c r="D116" s="21" t="s">
        <v>2127</v>
      </c>
      <c r="E116" s="22">
        <v>70.09</v>
      </c>
      <c r="F116" s="21" t="s">
        <v>17</v>
      </c>
      <c r="G116" s="21" t="s">
        <v>21</v>
      </c>
      <c r="H116" s="21" t="s">
        <v>2128</v>
      </c>
      <c r="I116" s="19" t="s">
        <v>2115</v>
      </c>
      <c r="J116" s="22">
        <f t="shared" si="6"/>
        <v>70.09</v>
      </c>
      <c r="K116" s="22">
        <v>70.09</v>
      </c>
      <c r="L116" s="24">
        <f t="shared" si="7"/>
        <v>0</v>
      </c>
      <c r="M116" s="25"/>
      <c r="N116" s="26"/>
    </row>
    <row r="117" spans="2:14">
      <c r="B117" s="19" t="s">
        <v>2115</v>
      </c>
      <c r="C117" s="20" t="s">
        <v>15</v>
      </c>
      <c r="D117" s="21" t="s">
        <v>2129</v>
      </c>
      <c r="E117" s="22" t="s">
        <v>471</v>
      </c>
      <c r="F117" s="21"/>
      <c r="G117" s="21"/>
      <c r="H117" s="21"/>
      <c r="I117" s="19" t="s">
        <v>2115</v>
      </c>
      <c r="J117" s="22" t="str">
        <f t="shared" si="6"/>
        <v>ANULADA</v>
      </c>
      <c r="K117" s="22"/>
      <c r="L117" s="24" t="e">
        <f t="shared" si="7"/>
        <v>#VALUE!</v>
      </c>
      <c r="M117" s="25"/>
      <c r="N117" s="26"/>
    </row>
    <row r="118" spans="2:14">
      <c r="B118" s="19" t="s">
        <v>2115</v>
      </c>
      <c r="C118" s="20" t="s">
        <v>15</v>
      </c>
      <c r="D118" s="21" t="s">
        <v>2130</v>
      </c>
      <c r="E118" s="22">
        <v>1555.12</v>
      </c>
      <c r="F118" s="21" t="s">
        <v>17</v>
      </c>
      <c r="G118" s="21" t="s">
        <v>21</v>
      </c>
      <c r="H118" s="21" t="s">
        <v>2131</v>
      </c>
      <c r="I118" s="19" t="s">
        <v>2115</v>
      </c>
      <c r="J118" s="22">
        <f t="shared" si="6"/>
        <v>1555.12</v>
      </c>
      <c r="K118" s="22">
        <v>1555.12</v>
      </c>
      <c r="L118" s="24">
        <f t="shared" si="7"/>
        <v>0</v>
      </c>
      <c r="M118" s="25"/>
      <c r="N118" s="26" t="s">
        <v>56</v>
      </c>
    </row>
    <row r="119" spans="2:14">
      <c r="B119" s="19" t="s">
        <v>2132</v>
      </c>
      <c r="C119" s="20" t="s">
        <v>15</v>
      </c>
      <c r="D119" s="21" t="s">
        <v>2133</v>
      </c>
      <c r="E119" s="22">
        <v>282.79</v>
      </c>
      <c r="F119" s="21" t="s">
        <v>176</v>
      </c>
      <c r="G119" s="21"/>
      <c r="H119" s="21"/>
      <c r="I119" s="19" t="s">
        <v>2132</v>
      </c>
      <c r="J119" s="22">
        <f t="shared" si="6"/>
        <v>282.79</v>
      </c>
      <c r="K119" s="22">
        <v>282.79</v>
      </c>
      <c r="L119" s="24">
        <f t="shared" si="7"/>
        <v>0</v>
      </c>
      <c r="M119" s="25"/>
      <c r="N119" s="26"/>
    </row>
    <row r="120" spans="2:14">
      <c r="B120" s="19" t="s">
        <v>2132</v>
      </c>
      <c r="C120" s="20" t="s">
        <v>15</v>
      </c>
      <c r="D120" s="21" t="s">
        <v>2134</v>
      </c>
      <c r="E120" s="22">
        <v>1612.52</v>
      </c>
      <c r="F120" s="21" t="s">
        <v>17</v>
      </c>
      <c r="G120" s="21" t="s">
        <v>21</v>
      </c>
      <c r="H120" s="21" t="s">
        <v>2135</v>
      </c>
      <c r="I120" s="19" t="s">
        <v>2132</v>
      </c>
      <c r="J120" s="22">
        <f t="shared" si="6"/>
        <v>1612.52</v>
      </c>
      <c r="K120" s="22">
        <v>1612.52</v>
      </c>
      <c r="L120" s="24">
        <f t="shared" si="7"/>
        <v>0</v>
      </c>
      <c r="M120" s="25"/>
      <c r="N120" s="26"/>
    </row>
    <row r="121" spans="2:14">
      <c r="B121" s="19" t="s">
        <v>2132</v>
      </c>
      <c r="C121" s="20" t="s">
        <v>15</v>
      </c>
      <c r="D121" s="21" t="s">
        <v>2136</v>
      </c>
      <c r="E121" s="22">
        <v>78.28</v>
      </c>
      <c r="F121" s="21" t="s">
        <v>17</v>
      </c>
      <c r="G121" s="21" t="s">
        <v>21</v>
      </c>
      <c r="H121" s="21" t="s">
        <v>2137</v>
      </c>
      <c r="I121" s="19" t="s">
        <v>2132</v>
      </c>
      <c r="J121" s="22">
        <f t="shared" si="6"/>
        <v>78.28</v>
      </c>
      <c r="K121" s="22">
        <v>78.28</v>
      </c>
      <c r="L121" s="24">
        <f t="shared" si="7"/>
        <v>0</v>
      </c>
      <c r="M121" s="25"/>
      <c r="N121" s="26"/>
    </row>
    <row r="122" spans="2:14">
      <c r="B122" s="19" t="s">
        <v>2132</v>
      </c>
      <c r="C122" s="20" t="s">
        <v>15</v>
      </c>
      <c r="D122" s="21" t="s">
        <v>2138</v>
      </c>
      <c r="E122" s="22">
        <v>530</v>
      </c>
      <c r="F122" s="21" t="s">
        <v>17</v>
      </c>
      <c r="G122" s="21" t="s">
        <v>21</v>
      </c>
      <c r="H122" s="21" t="s">
        <v>2139</v>
      </c>
      <c r="I122" s="19" t="s">
        <v>2132</v>
      </c>
      <c r="J122" s="22">
        <f t="shared" si="6"/>
        <v>530</v>
      </c>
      <c r="K122" s="22">
        <v>530</v>
      </c>
      <c r="L122" s="24">
        <f t="shared" si="7"/>
        <v>0</v>
      </c>
      <c r="M122" s="25"/>
      <c r="N122" s="26"/>
    </row>
    <row r="123" spans="2:14">
      <c r="B123" s="19" t="s">
        <v>2132</v>
      </c>
      <c r="C123" s="20" t="s">
        <v>15</v>
      </c>
      <c r="D123" s="21" t="s">
        <v>2140</v>
      </c>
      <c r="E123" s="22">
        <v>91.32</v>
      </c>
      <c r="F123" s="21" t="s">
        <v>29</v>
      </c>
      <c r="G123" s="21"/>
      <c r="H123" s="21" t="s">
        <v>2141</v>
      </c>
      <c r="I123" s="19" t="s">
        <v>2132</v>
      </c>
      <c r="J123" s="22">
        <f t="shared" si="6"/>
        <v>91.32</v>
      </c>
      <c r="K123" s="22">
        <v>91.32</v>
      </c>
      <c r="L123" s="24">
        <f t="shared" si="7"/>
        <v>0</v>
      </c>
      <c r="M123" s="25"/>
      <c r="N123" s="26"/>
    </row>
    <row r="124" spans="2:14">
      <c r="B124" s="19" t="s">
        <v>2132</v>
      </c>
      <c r="C124" s="20" t="s">
        <v>15</v>
      </c>
      <c r="D124" s="21" t="s">
        <v>2142</v>
      </c>
      <c r="E124" s="22">
        <v>358.77</v>
      </c>
      <c r="F124" s="21" t="s">
        <v>17</v>
      </c>
      <c r="G124" s="21" t="s">
        <v>18</v>
      </c>
      <c r="H124" s="21" t="s">
        <v>2143</v>
      </c>
      <c r="I124" s="19" t="s">
        <v>2132</v>
      </c>
      <c r="J124" s="22">
        <f t="shared" si="6"/>
        <v>358.77</v>
      </c>
      <c r="K124" s="22">
        <v>358.77</v>
      </c>
      <c r="L124" s="24">
        <f t="shared" si="7"/>
        <v>0</v>
      </c>
      <c r="M124" s="25"/>
      <c r="N124" s="26"/>
    </row>
    <row r="125" spans="2:14">
      <c r="B125" s="19" t="s">
        <v>2132</v>
      </c>
      <c r="C125" s="20" t="s">
        <v>15</v>
      </c>
      <c r="D125" s="21" t="s">
        <v>2144</v>
      </c>
      <c r="E125" s="22">
        <v>144.42</v>
      </c>
      <c r="F125" s="21" t="s">
        <v>17</v>
      </c>
      <c r="G125" s="21" t="s">
        <v>21</v>
      </c>
      <c r="H125" s="21" t="s">
        <v>2145</v>
      </c>
      <c r="I125" s="19" t="s">
        <v>2132</v>
      </c>
      <c r="J125" s="22">
        <f t="shared" si="6"/>
        <v>144.42</v>
      </c>
      <c r="K125" s="22">
        <v>144.42</v>
      </c>
      <c r="L125" s="24">
        <f t="shared" si="7"/>
        <v>0</v>
      </c>
      <c r="M125" s="25"/>
      <c r="N125" s="26"/>
    </row>
    <row r="126" spans="2:14">
      <c r="B126" s="19" t="s">
        <v>2132</v>
      </c>
      <c r="C126" s="20" t="s">
        <v>64</v>
      </c>
      <c r="D126" s="21" t="s">
        <v>2146</v>
      </c>
      <c r="E126" s="22">
        <v>105.97</v>
      </c>
      <c r="F126" s="21" t="s">
        <v>17</v>
      </c>
      <c r="G126" s="21" t="s">
        <v>21</v>
      </c>
      <c r="H126" s="21" t="s">
        <v>2147</v>
      </c>
      <c r="I126" s="19" t="s">
        <v>2132</v>
      </c>
      <c r="J126" s="22">
        <f t="shared" si="6"/>
        <v>105.97</v>
      </c>
      <c r="K126" s="22">
        <v>105.97</v>
      </c>
      <c r="L126" s="24">
        <f t="shared" si="7"/>
        <v>0</v>
      </c>
      <c r="M126" s="25"/>
      <c r="N126" s="26"/>
    </row>
    <row r="127" spans="2:14">
      <c r="B127" s="19" t="s">
        <v>2148</v>
      </c>
      <c r="C127" s="20" t="s">
        <v>15</v>
      </c>
      <c r="D127" s="21" t="s">
        <v>2149</v>
      </c>
      <c r="E127" s="22">
        <v>20.15</v>
      </c>
      <c r="F127" s="21" t="s">
        <v>17</v>
      </c>
      <c r="G127" s="21" t="s">
        <v>21</v>
      </c>
      <c r="H127" s="21" t="s">
        <v>2150</v>
      </c>
      <c r="I127" s="19" t="s">
        <v>2148</v>
      </c>
      <c r="J127" s="22">
        <f t="shared" si="6"/>
        <v>20.15</v>
      </c>
      <c r="K127" s="22">
        <v>20.15</v>
      </c>
      <c r="L127" s="24">
        <f t="shared" si="7"/>
        <v>0</v>
      </c>
      <c r="M127" s="25"/>
      <c r="N127" s="26" t="s">
        <v>39</v>
      </c>
    </row>
    <row r="128" spans="2:14">
      <c r="B128" s="19" t="s">
        <v>2148</v>
      </c>
      <c r="C128" s="20" t="s">
        <v>15</v>
      </c>
      <c r="D128" s="21" t="s">
        <v>2151</v>
      </c>
      <c r="E128" s="22">
        <v>397.49</v>
      </c>
      <c r="F128" s="21" t="s">
        <v>17</v>
      </c>
      <c r="G128" s="21" t="s">
        <v>18</v>
      </c>
      <c r="H128" s="21" t="s">
        <v>2152</v>
      </c>
      <c r="I128" s="19" t="s">
        <v>2148</v>
      </c>
      <c r="J128" s="22">
        <f t="shared" si="6"/>
        <v>397.49</v>
      </c>
      <c r="K128" s="22">
        <v>397.49</v>
      </c>
      <c r="L128" s="24">
        <f t="shared" si="7"/>
        <v>0</v>
      </c>
      <c r="M128" s="25"/>
      <c r="N128" s="26"/>
    </row>
    <row r="129" spans="2:14">
      <c r="B129" s="19" t="s">
        <v>2148</v>
      </c>
      <c r="C129" s="20" t="s">
        <v>15</v>
      </c>
      <c r="D129" s="21" t="s">
        <v>2153</v>
      </c>
      <c r="E129" s="22">
        <v>423.86</v>
      </c>
      <c r="F129" s="21" t="s">
        <v>17</v>
      </c>
      <c r="G129" s="21" t="s">
        <v>18</v>
      </c>
      <c r="H129" s="21" t="s">
        <v>2154</v>
      </c>
      <c r="I129" s="19" t="s">
        <v>2148</v>
      </c>
      <c r="J129" s="22">
        <f t="shared" ref="J129:J192" si="8">E129</f>
        <v>423.86</v>
      </c>
      <c r="K129" s="22">
        <v>423.86</v>
      </c>
      <c r="L129" s="24">
        <f t="shared" si="7"/>
        <v>0</v>
      </c>
      <c r="M129" s="25"/>
      <c r="N129" s="26"/>
    </row>
    <row r="130" spans="2:14">
      <c r="B130" s="19" t="s">
        <v>2148</v>
      </c>
      <c r="C130" s="20" t="s">
        <v>15</v>
      </c>
      <c r="D130" s="21" t="s">
        <v>2155</v>
      </c>
      <c r="E130" s="22">
        <v>450.6</v>
      </c>
      <c r="F130" s="21" t="s">
        <v>17</v>
      </c>
      <c r="G130" s="21" t="s">
        <v>21</v>
      </c>
      <c r="H130" s="21" t="s">
        <v>2156</v>
      </c>
      <c r="I130" s="19" t="s">
        <v>2148</v>
      </c>
      <c r="J130" s="22">
        <f t="shared" si="8"/>
        <v>450.6</v>
      </c>
      <c r="K130" s="22">
        <v>450.6</v>
      </c>
      <c r="L130" s="24">
        <f t="shared" si="7"/>
        <v>0</v>
      </c>
      <c r="M130" s="25"/>
      <c r="N130" s="26" t="s">
        <v>33</v>
      </c>
    </row>
    <row r="131" spans="2:14">
      <c r="B131" s="19" t="s">
        <v>2148</v>
      </c>
      <c r="C131" s="20" t="s">
        <v>15</v>
      </c>
      <c r="D131" s="21" t="s">
        <v>2157</v>
      </c>
      <c r="E131" s="22">
        <v>179.39</v>
      </c>
      <c r="F131" s="21" t="s">
        <v>17</v>
      </c>
      <c r="G131" s="21" t="s">
        <v>18</v>
      </c>
      <c r="H131" s="21" t="s">
        <v>2158</v>
      </c>
      <c r="I131" s="19" t="s">
        <v>2148</v>
      </c>
      <c r="J131" s="22">
        <f t="shared" si="8"/>
        <v>179.39</v>
      </c>
      <c r="K131" s="22">
        <v>179.39</v>
      </c>
      <c r="L131" s="24">
        <f t="shared" si="7"/>
        <v>0</v>
      </c>
      <c r="M131" s="25"/>
      <c r="N131" s="26" t="s">
        <v>33</v>
      </c>
    </row>
    <row r="132" spans="2:14">
      <c r="B132" s="19" t="s">
        <v>2148</v>
      </c>
      <c r="C132" s="20" t="s">
        <v>15</v>
      </c>
      <c r="D132" s="21" t="s">
        <v>2159</v>
      </c>
      <c r="E132" s="22">
        <v>1074.71</v>
      </c>
      <c r="F132" s="21" t="s">
        <v>29</v>
      </c>
      <c r="G132" s="21"/>
      <c r="H132" s="21" t="s">
        <v>2160</v>
      </c>
      <c r="I132" s="19" t="s">
        <v>2148</v>
      </c>
      <c r="J132" s="22">
        <f t="shared" si="8"/>
        <v>1074.71</v>
      </c>
      <c r="K132" s="22">
        <v>1074.71</v>
      </c>
      <c r="L132" s="24">
        <f t="shared" si="7"/>
        <v>0</v>
      </c>
      <c r="M132" s="25"/>
      <c r="N132" s="26" t="s">
        <v>944</v>
      </c>
    </row>
    <row r="133" spans="2:14">
      <c r="B133" s="19" t="s">
        <v>2148</v>
      </c>
      <c r="C133" s="20" t="s">
        <v>15</v>
      </c>
      <c r="D133" s="21" t="s">
        <v>2161</v>
      </c>
      <c r="E133" s="22">
        <v>263.51</v>
      </c>
      <c r="F133" s="21" t="s">
        <v>17</v>
      </c>
      <c r="G133" s="21"/>
      <c r="H133" s="21" t="s">
        <v>2162</v>
      </c>
      <c r="I133" s="19" t="s">
        <v>2148</v>
      </c>
      <c r="J133" s="22">
        <f t="shared" si="8"/>
        <v>263.51</v>
      </c>
      <c r="K133" s="22">
        <v>263.51</v>
      </c>
      <c r="L133" s="24">
        <f t="shared" si="7"/>
        <v>0</v>
      </c>
      <c r="M133" s="25"/>
      <c r="N133" s="26"/>
    </row>
    <row r="134" spans="2:14">
      <c r="B134" s="19" t="s">
        <v>2148</v>
      </c>
      <c r="C134" s="20" t="s">
        <v>15</v>
      </c>
      <c r="D134" s="21" t="s">
        <v>2163</v>
      </c>
      <c r="E134" s="22">
        <v>1794.39</v>
      </c>
      <c r="F134" s="21" t="s">
        <v>17</v>
      </c>
      <c r="G134" s="21" t="s">
        <v>21</v>
      </c>
      <c r="H134" s="21"/>
      <c r="I134" s="19" t="s">
        <v>2148</v>
      </c>
      <c r="J134" s="22">
        <f t="shared" si="8"/>
        <v>1794.39</v>
      </c>
      <c r="K134" s="22">
        <v>1794.39</v>
      </c>
      <c r="L134" s="24">
        <f t="shared" si="7"/>
        <v>0</v>
      </c>
      <c r="M134" s="25"/>
      <c r="N134" s="26" t="s">
        <v>56</v>
      </c>
    </row>
    <row r="135" spans="2:14">
      <c r="B135" s="19" t="s">
        <v>2148</v>
      </c>
      <c r="C135" s="20" t="s">
        <v>15</v>
      </c>
      <c r="D135" s="21" t="s">
        <v>2164</v>
      </c>
      <c r="E135" s="22">
        <v>96.79</v>
      </c>
      <c r="F135" s="21" t="s">
        <v>1518</v>
      </c>
      <c r="G135" s="21"/>
      <c r="H135" s="21" t="s">
        <v>2165</v>
      </c>
      <c r="I135" s="19" t="s">
        <v>2148</v>
      </c>
      <c r="J135" s="22">
        <f t="shared" si="8"/>
        <v>96.79</v>
      </c>
      <c r="K135" s="22">
        <v>96.79</v>
      </c>
      <c r="L135" s="24">
        <f t="shared" si="7"/>
        <v>0</v>
      </c>
      <c r="M135" s="25"/>
      <c r="N135" s="26" t="s">
        <v>56</v>
      </c>
    </row>
    <row r="136" spans="2:14">
      <c r="B136" s="19" t="s">
        <v>2166</v>
      </c>
      <c r="C136" s="20" t="s">
        <v>15</v>
      </c>
      <c r="D136" s="21" t="s">
        <v>2167</v>
      </c>
      <c r="E136" s="22">
        <v>63.6</v>
      </c>
      <c r="F136" s="21" t="s">
        <v>29</v>
      </c>
      <c r="G136" s="21"/>
      <c r="H136" s="21" t="s">
        <v>2168</v>
      </c>
      <c r="I136" s="19" t="s">
        <v>2166</v>
      </c>
      <c r="J136" s="22">
        <f t="shared" si="8"/>
        <v>63.6</v>
      </c>
      <c r="K136" s="22">
        <v>63.6</v>
      </c>
      <c r="L136" s="24">
        <f t="shared" si="7"/>
        <v>0</v>
      </c>
      <c r="M136" s="25"/>
      <c r="N136" s="26" t="s">
        <v>23</v>
      </c>
    </row>
    <row r="137" spans="2:14">
      <c r="B137" s="19" t="s">
        <v>2166</v>
      </c>
      <c r="C137" s="20" t="s">
        <v>64</v>
      </c>
      <c r="D137" s="21" t="s">
        <v>2169</v>
      </c>
      <c r="E137" s="22">
        <v>22.83</v>
      </c>
      <c r="F137" s="21" t="s">
        <v>17</v>
      </c>
      <c r="G137" s="21" t="s">
        <v>21</v>
      </c>
      <c r="H137" s="21" t="s">
        <v>2170</v>
      </c>
      <c r="I137" s="19" t="s">
        <v>2166</v>
      </c>
      <c r="J137" s="22">
        <f t="shared" si="8"/>
        <v>22.83</v>
      </c>
      <c r="K137" s="22">
        <v>22.83</v>
      </c>
      <c r="L137" s="24">
        <f t="shared" si="7"/>
        <v>0</v>
      </c>
      <c r="M137" s="25"/>
      <c r="N137" s="26"/>
    </row>
    <row r="138" spans="2:14">
      <c r="B138" s="19" t="s">
        <v>2171</v>
      </c>
      <c r="C138" s="20" t="s">
        <v>15</v>
      </c>
      <c r="D138" s="21" t="s">
        <v>2172</v>
      </c>
      <c r="E138" s="22">
        <v>300.74</v>
      </c>
      <c r="F138" s="21" t="s">
        <v>29</v>
      </c>
      <c r="G138" s="21"/>
      <c r="H138" s="21" t="s">
        <v>2173</v>
      </c>
      <c r="I138" s="19" t="s">
        <v>2171</v>
      </c>
      <c r="J138" s="22">
        <f t="shared" si="8"/>
        <v>300.74</v>
      </c>
      <c r="K138" s="22">
        <v>300.74</v>
      </c>
      <c r="L138" s="24">
        <f t="shared" si="7"/>
        <v>0</v>
      </c>
      <c r="M138" s="25"/>
      <c r="N138" s="26"/>
    </row>
    <row r="139" spans="2:14">
      <c r="B139" s="19" t="s">
        <v>2171</v>
      </c>
      <c r="C139" s="20" t="s">
        <v>15</v>
      </c>
      <c r="D139" s="21" t="s">
        <v>2174</v>
      </c>
      <c r="E139" s="22">
        <v>215.85</v>
      </c>
      <c r="F139" s="21" t="s">
        <v>17</v>
      </c>
      <c r="G139" s="21" t="s">
        <v>18</v>
      </c>
      <c r="H139" s="21" t="s">
        <v>2175</v>
      </c>
      <c r="I139" s="19" t="s">
        <v>2171</v>
      </c>
      <c r="J139" s="22">
        <f t="shared" si="8"/>
        <v>215.85</v>
      </c>
      <c r="K139" s="22">
        <v>215.85</v>
      </c>
      <c r="L139" s="24">
        <f t="shared" si="7"/>
        <v>0</v>
      </c>
      <c r="M139" s="25"/>
      <c r="N139" s="26"/>
    </row>
    <row r="140" spans="2:14">
      <c r="B140" s="19" t="s">
        <v>2171</v>
      </c>
      <c r="C140" s="20" t="s">
        <v>15</v>
      </c>
      <c r="D140" s="21" t="s">
        <v>2176</v>
      </c>
      <c r="E140" s="22">
        <v>431.53</v>
      </c>
      <c r="F140" s="21" t="s">
        <v>29</v>
      </c>
      <c r="G140" s="21"/>
      <c r="H140" s="21" t="s">
        <v>2177</v>
      </c>
      <c r="I140" s="19" t="s">
        <v>2171</v>
      </c>
      <c r="J140" s="22">
        <f t="shared" si="8"/>
        <v>431.53</v>
      </c>
      <c r="K140" s="22">
        <v>431.53</v>
      </c>
      <c r="L140" s="24">
        <f t="shared" ref="L140:L203" si="9">J140-K140</f>
        <v>0</v>
      </c>
      <c r="M140" s="25"/>
      <c r="N140" s="26" t="s">
        <v>60</v>
      </c>
    </row>
    <row r="141" spans="2:14">
      <c r="B141" s="19" t="s">
        <v>2171</v>
      </c>
      <c r="C141" s="20" t="s">
        <v>15</v>
      </c>
      <c r="D141" s="21" t="s">
        <v>2178</v>
      </c>
      <c r="E141" s="22">
        <v>113.8</v>
      </c>
      <c r="F141" s="21" t="s">
        <v>228</v>
      </c>
      <c r="G141" s="21"/>
      <c r="H141" s="21"/>
      <c r="I141" s="19" t="s">
        <v>2171</v>
      </c>
      <c r="J141" s="22">
        <f t="shared" si="8"/>
        <v>113.8</v>
      </c>
      <c r="K141" s="22">
        <v>113.8</v>
      </c>
      <c r="L141" s="24">
        <f t="shared" si="9"/>
        <v>0</v>
      </c>
      <c r="M141" s="25"/>
      <c r="N141" s="31"/>
    </row>
    <row r="142" spans="2:14">
      <c r="B142" s="19" t="s">
        <v>2171</v>
      </c>
      <c r="C142" s="20" t="s">
        <v>15</v>
      </c>
      <c r="D142" s="21" t="s">
        <v>2179</v>
      </c>
      <c r="E142" s="22">
        <v>167.8</v>
      </c>
      <c r="F142" s="21" t="s">
        <v>29</v>
      </c>
      <c r="G142" s="21"/>
      <c r="H142" s="21" t="s">
        <v>2180</v>
      </c>
      <c r="I142" s="19" t="s">
        <v>2171</v>
      </c>
      <c r="J142" s="22">
        <f t="shared" si="8"/>
        <v>167.8</v>
      </c>
      <c r="K142" s="22">
        <v>167.8</v>
      </c>
      <c r="L142" s="24">
        <f t="shared" si="9"/>
        <v>0</v>
      </c>
      <c r="M142" s="25"/>
      <c r="N142" s="26"/>
    </row>
    <row r="143" spans="2:14">
      <c r="B143" s="19" t="s">
        <v>2181</v>
      </c>
      <c r="C143" s="20" t="s">
        <v>15</v>
      </c>
      <c r="D143" s="21" t="s">
        <v>2182</v>
      </c>
      <c r="E143" s="22">
        <v>406.3</v>
      </c>
      <c r="F143" s="21" t="s">
        <v>17</v>
      </c>
      <c r="G143" s="21" t="s">
        <v>21</v>
      </c>
      <c r="H143" s="21" t="s">
        <v>2183</v>
      </c>
      <c r="I143" s="19" t="s">
        <v>2181</v>
      </c>
      <c r="J143" s="22">
        <f t="shared" si="8"/>
        <v>406.3</v>
      </c>
      <c r="K143" s="22">
        <v>406.3</v>
      </c>
      <c r="L143" s="24">
        <f t="shared" si="9"/>
        <v>0</v>
      </c>
      <c r="M143" s="25"/>
      <c r="N143" s="26"/>
    </row>
    <row r="144" spans="2:14">
      <c r="B144" s="19" t="s">
        <v>2181</v>
      </c>
      <c r="C144" s="20" t="s">
        <v>15</v>
      </c>
      <c r="D144" s="21" t="s">
        <v>2184</v>
      </c>
      <c r="E144" s="22">
        <v>199.38</v>
      </c>
      <c r="F144" s="21" t="s">
        <v>17</v>
      </c>
      <c r="G144" s="21" t="s">
        <v>21</v>
      </c>
      <c r="H144" s="21"/>
      <c r="I144" s="19" t="s">
        <v>2181</v>
      </c>
      <c r="J144" s="22">
        <f t="shared" si="8"/>
        <v>199.38</v>
      </c>
      <c r="K144" s="22">
        <v>199.38</v>
      </c>
      <c r="L144" s="24">
        <f t="shared" si="9"/>
        <v>0</v>
      </c>
      <c r="M144" s="25"/>
      <c r="N144" s="26"/>
    </row>
    <row r="145" spans="1:14">
      <c r="B145" s="19" t="s">
        <v>2181</v>
      </c>
      <c r="C145" s="20" t="s">
        <v>15</v>
      </c>
      <c r="D145" s="21" t="s">
        <v>2185</v>
      </c>
      <c r="E145" s="22">
        <v>229.6</v>
      </c>
      <c r="F145" s="21" t="s">
        <v>29</v>
      </c>
      <c r="G145" s="21"/>
      <c r="H145" s="21" t="s">
        <v>2186</v>
      </c>
      <c r="I145" s="19" t="s">
        <v>2181</v>
      </c>
      <c r="J145" s="22">
        <f t="shared" si="8"/>
        <v>229.6</v>
      </c>
      <c r="K145" s="22">
        <v>229.6</v>
      </c>
      <c r="L145" s="24">
        <f t="shared" si="9"/>
        <v>0</v>
      </c>
      <c r="M145" s="25"/>
      <c r="N145" s="26" t="s">
        <v>944</v>
      </c>
    </row>
    <row r="146" spans="1:14">
      <c r="B146" s="19" t="s">
        <v>2181</v>
      </c>
      <c r="C146" s="20" t="s">
        <v>15</v>
      </c>
      <c r="D146" s="21" t="s">
        <v>2187</v>
      </c>
      <c r="E146" s="22">
        <v>311.8</v>
      </c>
      <c r="F146" s="21" t="s">
        <v>17</v>
      </c>
      <c r="G146" s="21" t="s">
        <v>21</v>
      </c>
      <c r="H146" s="21" t="s">
        <v>2188</v>
      </c>
      <c r="I146" s="19" t="s">
        <v>2181</v>
      </c>
      <c r="J146" s="22">
        <f t="shared" si="8"/>
        <v>311.8</v>
      </c>
      <c r="K146" s="22">
        <v>311.8</v>
      </c>
      <c r="L146" s="24">
        <f t="shared" si="9"/>
        <v>0</v>
      </c>
      <c r="M146" s="25"/>
      <c r="N146" s="26"/>
    </row>
    <row r="147" spans="1:14">
      <c r="B147" s="19" t="s">
        <v>2181</v>
      </c>
      <c r="C147" s="20" t="s">
        <v>15</v>
      </c>
      <c r="D147" s="21" t="s">
        <v>2189</v>
      </c>
      <c r="E147" s="22">
        <v>189.59</v>
      </c>
      <c r="F147" s="21" t="s">
        <v>17</v>
      </c>
      <c r="G147" s="21" t="s">
        <v>21</v>
      </c>
      <c r="H147" s="21" t="s">
        <v>2190</v>
      </c>
      <c r="I147" s="19" t="s">
        <v>2181</v>
      </c>
      <c r="J147" s="22">
        <f t="shared" si="8"/>
        <v>189.59</v>
      </c>
      <c r="K147" s="22">
        <v>189.59</v>
      </c>
      <c r="L147" s="24">
        <f t="shared" si="9"/>
        <v>0</v>
      </c>
      <c r="M147" s="25"/>
      <c r="N147" s="26"/>
    </row>
    <row r="148" spans="1:14">
      <c r="B148" s="19" t="s">
        <v>2181</v>
      </c>
      <c r="C148" s="20" t="s">
        <v>15</v>
      </c>
      <c r="D148" s="21" t="s">
        <v>2191</v>
      </c>
      <c r="E148" s="22">
        <v>455.52</v>
      </c>
      <c r="F148" s="21" t="s">
        <v>17</v>
      </c>
      <c r="G148" s="21" t="s">
        <v>18</v>
      </c>
      <c r="H148" s="21" t="s">
        <v>2192</v>
      </c>
      <c r="I148" s="19" t="s">
        <v>2181</v>
      </c>
      <c r="J148" s="22">
        <f t="shared" si="8"/>
        <v>455.52</v>
      </c>
      <c r="K148" s="22">
        <v>455.52</v>
      </c>
      <c r="L148" s="24">
        <f t="shared" si="9"/>
        <v>0</v>
      </c>
      <c r="M148" s="25"/>
      <c r="N148" s="26"/>
    </row>
    <row r="149" spans="1:14">
      <c r="B149" s="19" t="s">
        <v>2181</v>
      </c>
      <c r="C149" s="20" t="s">
        <v>64</v>
      </c>
      <c r="D149" s="21" t="s">
        <v>2193</v>
      </c>
      <c r="E149" s="22">
        <v>456.61</v>
      </c>
      <c r="F149" s="21" t="s">
        <v>17</v>
      </c>
      <c r="G149" s="21" t="s">
        <v>21</v>
      </c>
      <c r="H149" s="21" t="s">
        <v>2194</v>
      </c>
      <c r="I149" s="19" t="s">
        <v>2181</v>
      </c>
      <c r="J149" s="22">
        <f t="shared" si="8"/>
        <v>456.61</v>
      </c>
      <c r="K149" s="22">
        <v>456.61</v>
      </c>
      <c r="L149" s="24">
        <f t="shared" si="9"/>
        <v>0</v>
      </c>
      <c r="M149" s="25"/>
      <c r="N149" s="26"/>
    </row>
    <row r="150" spans="1:14">
      <c r="B150" s="64" t="s">
        <v>2181</v>
      </c>
      <c r="C150" s="65" t="s">
        <v>15</v>
      </c>
      <c r="D150" s="66" t="s">
        <v>2195</v>
      </c>
      <c r="E150" s="67">
        <v>196.29</v>
      </c>
      <c r="F150" s="66" t="s">
        <v>17</v>
      </c>
      <c r="G150" s="66" t="s">
        <v>21</v>
      </c>
      <c r="H150" s="66" t="s">
        <v>2196</v>
      </c>
      <c r="I150" s="64" t="s">
        <v>2181</v>
      </c>
      <c r="J150" s="67">
        <f t="shared" si="8"/>
        <v>196.29</v>
      </c>
      <c r="K150" s="67">
        <v>196.29</v>
      </c>
      <c r="L150" s="24">
        <f t="shared" si="9"/>
        <v>0</v>
      </c>
      <c r="M150" s="25"/>
      <c r="N150" s="26" t="s">
        <v>366</v>
      </c>
    </row>
    <row r="151" spans="1:14">
      <c r="B151" s="19" t="s">
        <v>2197</v>
      </c>
      <c r="C151" s="20" t="s">
        <v>15</v>
      </c>
      <c r="D151" s="21" t="s">
        <v>2198</v>
      </c>
      <c r="E151" s="22">
        <v>381.9</v>
      </c>
      <c r="F151" s="21" t="s">
        <v>17</v>
      </c>
      <c r="G151" s="21" t="s">
        <v>21</v>
      </c>
      <c r="H151" s="21" t="s">
        <v>2199</v>
      </c>
      <c r="I151" s="19" t="s">
        <v>2197</v>
      </c>
      <c r="J151" s="22">
        <f t="shared" si="8"/>
        <v>381.9</v>
      </c>
      <c r="K151" s="22">
        <v>381.9</v>
      </c>
      <c r="L151" s="24">
        <f t="shared" si="9"/>
        <v>0</v>
      </c>
      <c r="M151" s="25"/>
      <c r="N151" s="26"/>
    </row>
    <row r="152" spans="1:14">
      <c r="B152" s="19" t="s">
        <v>2197</v>
      </c>
      <c r="C152" s="20" t="s">
        <v>15</v>
      </c>
      <c r="D152" s="21" t="s">
        <v>2200</v>
      </c>
      <c r="E152" s="22">
        <v>71.73</v>
      </c>
      <c r="F152" s="21" t="s">
        <v>29</v>
      </c>
      <c r="G152" s="21"/>
      <c r="H152" s="21" t="s">
        <v>2201</v>
      </c>
      <c r="I152" s="19" t="s">
        <v>2197</v>
      </c>
      <c r="J152" s="22">
        <f t="shared" si="8"/>
        <v>71.73</v>
      </c>
      <c r="K152" s="22">
        <v>71.73</v>
      </c>
      <c r="L152" s="24">
        <f t="shared" si="9"/>
        <v>0</v>
      </c>
      <c r="M152" s="25"/>
      <c r="N152" s="26" t="s">
        <v>23</v>
      </c>
    </row>
    <row r="153" spans="1:14">
      <c r="B153" s="19" t="s">
        <v>2197</v>
      </c>
      <c r="C153" s="20" t="s">
        <v>15</v>
      </c>
      <c r="D153" s="21" t="s">
        <v>2202</v>
      </c>
      <c r="E153" s="22">
        <v>398</v>
      </c>
      <c r="F153" s="21" t="s">
        <v>17</v>
      </c>
      <c r="G153" s="21" t="s">
        <v>21</v>
      </c>
      <c r="H153" s="21" t="s">
        <v>2203</v>
      </c>
      <c r="I153" s="19" t="s">
        <v>2197</v>
      </c>
      <c r="J153" s="22">
        <f t="shared" si="8"/>
        <v>398</v>
      </c>
      <c r="K153" s="22">
        <v>398</v>
      </c>
      <c r="L153" s="24">
        <f t="shared" si="9"/>
        <v>0</v>
      </c>
      <c r="M153" s="25"/>
      <c r="N153" s="26" t="s">
        <v>63</v>
      </c>
    </row>
    <row r="154" spans="1:14">
      <c r="B154" s="19" t="s">
        <v>2197</v>
      </c>
      <c r="C154" s="20" t="s">
        <v>15</v>
      </c>
      <c r="D154" s="21" t="s">
        <v>2204</v>
      </c>
      <c r="E154" s="22">
        <v>450.6</v>
      </c>
      <c r="F154" s="21" t="s">
        <v>17</v>
      </c>
      <c r="G154" s="21" t="s">
        <v>21</v>
      </c>
      <c r="H154" s="21" t="s">
        <v>2205</v>
      </c>
      <c r="I154" s="19" t="s">
        <v>2197</v>
      </c>
      <c r="J154" s="22">
        <f t="shared" si="8"/>
        <v>450.6</v>
      </c>
      <c r="K154" s="22">
        <v>450.6</v>
      </c>
      <c r="L154" s="24">
        <f t="shared" si="9"/>
        <v>0</v>
      </c>
      <c r="M154" s="25"/>
      <c r="N154" s="26" t="s">
        <v>33</v>
      </c>
    </row>
    <row r="155" spans="1:14">
      <c r="B155" s="19" t="s">
        <v>2197</v>
      </c>
      <c r="C155" s="20" t="s">
        <v>15</v>
      </c>
      <c r="D155" s="21" t="s">
        <v>2206</v>
      </c>
      <c r="E155" s="22">
        <v>329.2</v>
      </c>
      <c r="F155" s="21" t="s">
        <v>29</v>
      </c>
      <c r="G155" s="21"/>
      <c r="H155" s="21" t="s">
        <v>2207</v>
      </c>
      <c r="I155" s="19" t="s">
        <v>2197</v>
      </c>
      <c r="J155" s="22">
        <f t="shared" si="8"/>
        <v>329.2</v>
      </c>
      <c r="K155" s="22">
        <v>329.2</v>
      </c>
      <c r="L155" s="24">
        <f t="shared" si="9"/>
        <v>0</v>
      </c>
      <c r="M155" s="25"/>
      <c r="N155" s="26" t="s">
        <v>23</v>
      </c>
    </row>
    <row r="156" spans="1:14">
      <c r="B156" s="19" t="s">
        <v>2197</v>
      </c>
      <c r="C156" s="20" t="s">
        <v>15</v>
      </c>
      <c r="D156" s="21" t="s">
        <v>2208</v>
      </c>
      <c r="E156" s="22">
        <v>355.1</v>
      </c>
      <c r="F156" s="21" t="s">
        <v>17</v>
      </c>
      <c r="G156" s="21" t="s">
        <v>18</v>
      </c>
      <c r="H156" s="21" t="s">
        <v>2209</v>
      </c>
      <c r="I156" s="19" t="s">
        <v>2197</v>
      </c>
      <c r="J156" s="22">
        <f t="shared" si="8"/>
        <v>355.1</v>
      </c>
      <c r="K156" s="22">
        <v>355.1</v>
      </c>
      <c r="L156" s="24">
        <f t="shared" si="9"/>
        <v>0</v>
      </c>
      <c r="M156" s="25"/>
      <c r="N156" s="26" t="s">
        <v>56</v>
      </c>
    </row>
    <row r="157" spans="1:14">
      <c r="A157" s="32"/>
      <c r="B157" s="19" t="s">
        <v>2210</v>
      </c>
      <c r="C157" s="20" t="s">
        <v>15</v>
      </c>
      <c r="D157" s="21" t="s">
        <v>2211</v>
      </c>
      <c r="E157" s="22">
        <v>217.07</v>
      </c>
      <c r="F157" s="21" t="s">
        <v>17</v>
      </c>
      <c r="G157" s="21" t="s">
        <v>21</v>
      </c>
      <c r="H157" s="21" t="s">
        <v>2212</v>
      </c>
      <c r="I157" s="19" t="s">
        <v>2210</v>
      </c>
      <c r="J157" s="22">
        <f t="shared" si="8"/>
        <v>217.07</v>
      </c>
      <c r="K157" s="22">
        <v>217.07</v>
      </c>
      <c r="L157" s="24">
        <f t="shared" si="9"/>
        <v>0</v>
      </c>
      <c r="M157" s="25"/>
      <c r="N157" s="26"/>
    </row>
    <row r="158" spans="1:14">
      <c r="A158" s="33"/>
      <c r="B158" s="19" t="s">
        <v>2210</v>
      </c>
      <c r="C158" s="20" t="s">
        <v>15</v>
      </c>
      <c r="D158" s="21" t="s">
        <v>2213</v>
      </c>
      <c r="E158" s="22">
        <v>209.57</v>
      </c>
      <c r="F158" s="21" t="s">
        <v>17</v>
      </c>
      <c r="G158" s="21" t="s">
        <v>37</v>
      </c>
      <c r="H158" s="21" t="s">
        <v>2214</v>
      </c>
      <c r="I158" s="19" t="s">
        <v>2210</v>
      </c>
      <c r="J158" s="22">
        <f t="shared" si="8"/>
        <v>209.57</v>
      </c>
      <c r="K158" s="22">
        <v>209.57</v>
      </c>
      <c r="L158" s="24">
        <f t="shared" si="9"/>
        <v>0</v>
      </c>
      <c r="M158" s="25"/>
      <c r="N158" s="26"/>
    </row>
    <row r="159" spans="1:14">
      <c r="B159" s="19" t="s">
        <v>2210</v>
      </c>
      <c r="C159" s="20" t="s">
        <v>15</v>
      </c>
      <c r="D159" s="21" t="s">
        <v>2215</v>
      </c>
      <c r="E159" s="22">
        <v>304.91</v>
      </c>
      <c r="F159" s="21" t="s">
        <v>17</v>
      </c>
      <c r="G159" s="21" t="s">
        <v>21</v>
      </c>
      <c r="H159" s="21" t="s">
        <v>2216</v>
      </c>
      <c r="I159" s="19" t="s">
        <v>2210</v>
      </c>
      <c r="J159" s="22">
        <f t="shared" si="8"/>
        <v>304.91</v>
      </c>
      <c r="K159" s="22">
        <v>304.91</v>
      </c>
      <c r="L159" s="24">
        <f t="shared" si="9"/>
        <v>0</v>
      </c>
      <c r="M159" s="25"/>
      <c r="N159" s="26"/>
    </row>
    <row r="160" spans="1:14">
      <c r="B160" s="19" t="s">
        <v>2210</v>
      </c>
      <c r="C160" s="20" t="s">
        <v>15</v>
      </c>
      <c r="D160" s="21" t="s">
        <v>2217</v>
      </c>
      <c r="E160" s="22">
        <v>407.81</v>
      </c>
      <c r="F160" s="21" t="s">
        <v>17</v>
      </c>
      <c r="G160" s="21" t="s">
        <v>18</v>
      </c>
      <c r="H160" s="21" t="s">
        <v>2218</v>
      </c>
      <c r="I160" s="19" t="s">
        <v>2210</v>
      </c>
      <c r="J160" s="22">
        <f t="shared" si="8"/>
        <v>407.81</v>
      </c>
      <c r="K160" s="22">
        <v>407.81</v>
      </c>
      <c r="L160" s="24">
        <f t="shared" si="9"/>
        <v>0</v>
      </c>
      <c r="M160" s="25"/>
      <c r="N160" s="26"/>
    </row>
    <row r="161" spans="2:14">
      <c r="B161" s="19" t="s">
        <v>2210</v>
      </c>
      <c r="C161" s="20" t="s">
        <v>64</v>
      </c>
      <c r="D161" s="21" t="s">
        <v>2219</v>
      </c>
      <c r="E161" s="22">
        <v>79.98</v>
      </c>
      <c r="F161" s="21" t="s">
        <v>29</v>
      </c>
      <c r="G161" s="21"/>
      <c r="H161" s="21" t="s">
        <v>2220</v>
      </c>
      <c r="I161" s="19" t="s">
        <v>2210</v>
      </c>
      <c r="J161" s="22">
        <f t="shared" si="8"/>
        <v>79.98</v>
      </c>
      <c r="K161" s="22">
        <v>70</v>
      </c>
      <c r="L161" s="24">
        <f t="shared" si="9"/>
        <v>9.98</v>
      </c>
      <c r="M161" s="25"/>
      <c r="N161" s="26"/>
    </row>
    <row r="162" spans="2:14">
      <c r="B162" s="34"/>
      <c r="C162" s="20"/>
      <c r="D162" s="21"/>
      <c r="E162" s="22"/>
      <c r="F162" s="21" t="s">
        <v>228</v>
      </c>
      <c r="G162" s="21"/>
      <c r="H162" s="21"/>
      <c r="I162" s="34"/>
      <c r="J162" s="22">
        <f t="shared" si="8"/>
        <v>0</v>
      </c>
      <c r="K162" s="22">
        <v>10</v>
      </c>
      <c r="L162" s="24">
        <f t="shared" si="9"/>
        <v>-10</v>
      </c>
      <c r="M162" s="25"/>
      <c r="N162" s="26"/>
    </row>
    <row r="163" spans="2:14">
      <c r="B163" s="34" t="s">
        <v>2221</v>
      </c>
      <c r="C163" s="20" t="s">
        <v>15</v>
      </c>
      <c r="D163" s="21" t="s">
        <v>2222</v>
      </c>
      <c r="E163" s="22">
        <v>315.1</v>
      </c>
      <c r="F163" s="21" t="s">
        <v>17</v>
      </c>
      <c r="G163" s="21" t="s">
        <v>21</v>
      </c>
      <c r="H163" s="21" t="s">
        <v>2223</v>
      </c>
      <c r="I163" s="34" t="s">
        <v>2221</v>
      </c>
      <c r="J163" s="22">
        <f t="shared" si="8"/>
        <v>315.1</v>
      </c>
      <c r="K163" s="22">
        <v>315.1</v>
      </c>
      <c r="L163" s="24">
        <f t="shared" si="9"/>
        <v>0</v>
      </c>
      <c r="M163" s="25"/>
      <c r="N163" s="26"/>
    </row>
    <row r="164" spans="2:14">
      <c r="B164" s="34" t="s">
        <v>2221</v>
      </c>
      <c r="C164" s="20" t="s">
        <v>15</v>
      </c>
      <c r="D164" s="21" t="s">
        <v>2224</v>
      </c>
      <c r="E164" s="22">
        <v>157.28</v>
      </c>
      <c r="F164" s="21" t="s">
        <v>17</v>
      </c>
      <c r="G164" s="21" t="s">
        <v>21</v>
      </c>
      <c r="H164" s="21" t="s">
        <v>2225</v>
      </c>
      <c r="I164" s="34" t="s">
        <v>2221</v>
      </c>
      <c r="J164" s="22">
        <f t="shared" si="8"/>
        <v>157.28</v>
      </c>
      <c r="K164" s="22">
        <v>157.28</v>
      </c>
      <c r="L164" s="24">
        <f t="shared" si="9"/>
        <v>0</v>
      </c>
      <c r="M164" s="25"/>
      <c r="N164" s="26"/>
    </row>
    <row r="165" spans="2:14">
      <c r="B165" s="34" t="s">
        <v>2221</v>
      </c>
      <c r="C165" s="20" t="s">
        <v>15</v>
      </c>
      <c r="D165" s="21" t="s">
        <v>2226</v>
      </c>
      <c r="E165" s="22">
        <v>232.71</v>
      </c>
      <c r="F165" s="21" t="s">
        <v>17</v>
      </c>
      <c r="G165" s="21" t="s">
        <v>21</v>
      </c>
      <c r="H165" s="21" t="s">
        <v>2227</v>
      </c>
      <c r="I165" s="34" t="s">
        <v>2221</v>
      </c>
      <c r="J165" s="22">
        <f t="shared" si="8"/>
        <v>232.71</v>
      </c>
      <c r="K165" s="22">
        <v>232.71</v>
      </c>
      <c r="L165" s="24">
        <f t="shared" si="9"/>
        <v>0</v>
      </c>
      <c r="M165" s="25"/>
      <c r="N165" s="31"/>
    </row>
    <row r="166" spans="2:14">
      <c r="B166" s="34" t="s">
        <v>2221</v>
      </c>
      <c r="C166" s="20" t="s">
        <v>15</v>
      </c>
      <c r="D166" s="21" t="s">
        <v>2228</v>
      </c>
      <c r="E166" s="22">
        <v>151.07</v>
      </c>
      <c r="F166" s="21" t="s">
        <v>17</v>
      </c>
      <c r="G166" s="21" t="s">
        <v>21</v>
      </c>
      <c r="H166" s="21" t="s">
        <v>2229</v>
      </c>
      <c r="I166" s="34" t="s">
        <v>2221</v>
      </c>
      <c r="J166" s="22">
        <f t="shared" si="8"/>
        <v>151.07</v>
      </c>
      <c r="K166" s="22">
        <v>151.07</v>
      </c>
      <c r="L166" s="24">
        <f t="shared" si="9"/>
        <v>0</v>
      </c>
      <c r="M166" s="25"/>
      <c r="N166" s="26" t="s">
        <v>23</v>
      </c>
    </row>
    <row r="167" spans="2:14">
      <c r="B167" s="34" t="s">
        <v>2230</v>
      </c>
      <c r="C167" s="20" t="s">
        <v>15</v>
      </c>
      <c r="D167" s="21" t="s">
        <v>2231</v>
      </c>
      <c r="E167" s="22">
        <v>901.19</v>
      </c>
      <c r="F167" s="21" t="s">
        <v>17</v>
      </c>
      <c r="G167" s="21" t="s">
        <v>21</v>
      </c>
      <c r="H167" s="21" t="s">
        <v>2232</v>
      </c>
      <c r="I167" s="34" t="s">
        <v>2230</v>
      </c>
      <c r="J167" s="22">
        <f t="shared" si="8"/>
        <v>901.19</v>
      </c>
      <c r="K167" s="22">
        <v>901.19</v>
      </c>
      <c r="L167" s="24">
        <f t="shared" si="9"/>
        <v>0</v>
      </c>
      <c r="M167" s="25"/>
      <c r="N167" s="26" t="s">
        <v>33</v>
      </c>
    </row>
    <row r="168" spans="2:14">
      <c r="B168" s="34" t="s">
        <v>2230</v>
      </c>
      <c r="C168" s="20" t="s">
        <v>15</v>
      </c>
      <c r="D168" s="21" t="s">
        <v>2233</v>
      </c>
      <c r="E168" s="22">
        <v>427.31</v>
      </c>
      <c r="F168" s="21" t="s">
        <v>17</v>
      </c>
      <c r="G168" s="21" t="s">
        <v>18</v>
      </c>
      <c r="H168" s="21" t="s">
        <v>2234</v>
      </c>
      <c r="I168" s="34" t="s">
        <v>2230</v>
      </c>
      <c r="J168" s="22">
        <f t="shared" si="8"/>
        <v>427.31</v>
      </c>
      <c r="K168" s="22">
        <v>427.31</v>
      </c>
      <c r="L168" s="24">
        <f t="shared" si="9"/>
        <v>0</v>
      </c>
      <c r="M168" s="25"/>
      <c r="N168" s="26"/>
    </row>
    <row r="169" spans="2:14">
      <c r="B169" s="34" t="s">
        <v>2230</v>
      </c>
      <c r="C169" s="20" t="s">
        <v>15</v>
      </c>
      <c r="D169" s="21" t="s">
        <v>2235</v>
      </c>
      <c r="E169" s="22">
        <v>162.52</v>
      </c>
      <c r="F169" s="21" t="s">
        <v>17</v>
      </c>
      <c r="G169" s="21" t="s">
        <v>21</v>
      </c>
      <c r="H169" s="21" t="s">
        <v>2236</v>
      </c>
      <c r="I169" s="34" t="s">
        <v>2230</v>
      </c>
      <c r="J169" s="22">
        <f t="shared" si="8"/>
        <v>162.52</v>
      </c>
      <c r="K169" s="22">
        <v>162.52</v>
      </c>
      <c r="L169" s="24">
        <f t="shared" si="9"/>
        <v>0</v>
      </c>
      <c r="M169" s="25"/>
      <c r="N169" s="31"/>
    </row>
    <row r="170" spans="2:14">
      <c r="B170" s="34" t="s">
        <v>2230</v>
      </c>
      <c r="C170" s="20" t="s">
        <v>15</v>
      </c>
      <c r="D170" s="21" t="s">
        <v>2237</v>
      </c>
      <c r="E170" s="22">
        <v>63.53</v>
      </c>
      <c r="F170" s="21" t="s">
        <v>17</v>
      </c>
      <c r="G170" s="21" t="s">
        <v>21</v>
      </c>
      <c r="H170" s="21" t="s">
        <v>2238</v>
      </c>
      <c r="I170" s="34" t="s">
        <v>2230</v>
      </c>
      <c r="J170" s="22">
        <f t="shared" si="8"/>
        <v>63.53</v>
      </c>
      <c r="K170" s="22">
        <v>63.53</v>
      </c>
      <c r="L170" s="24">
        <f t="shared" si="9"/>
        <v>0</v>
      </c>
      <c r="M170" s="25"/>
      <c r="N170" s="26"/>
    </row>
    <row r="171" spans="2:14">
      <c r="B171" s="34" t="s">
        <v>2230</v>
      </c>
      <c r="C171" s="20" t="s">
        <v>15</v>
      </c>
      <c r="D171" s="21" t="s">
        <v>2239</v>
      </c>
      <c r="E171" s="22">
        <v>235.19</v>
      </c>
      <c r="F171" s="21" t="s">
        <v>17</v>
      </c>
      <c r="G171" s="21" t="s">
        <v>18</v>
      </c>
      <c r="H171" s="21" t="s">
        <v>2240</v>
      </c>
      <c r="I171" s="34" t="s">
        <v>2230</v>
      </c>
      <c r="J171" s="22">
        <f t="shared" si="8"/>
        <v>235.19</v>
      </c>
      <c r="K171" s="22">
        <v>235.19</v>
      </c>
      <c r="L171" s="24">
        <f t="shared" si="9"/>
        <v>0</v>
      </c>
      <c r="M171" s="25"/>
      <c r="N171" s="26"/>
    </row>
    <row r="172" spans="2:14">
      <c r="B172" s="34" t="s">
        <v>2230</v>
      </c>
      <c r="C172" s="20" t="s">
        <v>15</v>
      </c>
      <c r="D172" s="21" t="s">
        <v>2241</v>
      </c>
      <c r="E172" s="22">
        <v>264.7</v>
      </c>
      <c r="F172" s="21" t="s">
        <v>17</v>
      </c>
      <c r="G172" s="21" t="s">
        <v>21</v>
      </c>
      <c r="H172" s="21" t="s">
        <v>2242</v>
      </c>
      <c r="I172" s="34" t="s">
        <v>2230</v>
      </c>
      <c r="J172" s="22">
        <f t="shared" si="8"/>
        <v>264.7</v>
      </c>
      <c r="K172" s="22">
        <v>264.7</v>
      </c>
      <c r="L172" s="24">
        <f t="shared" si="9"/>
        <v>0</v>
      </c>
      <c r="M172" s="25"/>
      <c r="N172" s="31"/>
    </row>
    <row r="173" spans="2:14">
      <c r="B173" s="34" t="s">
        <v>2243</v>
      </c>
      <c r="C173" s="20" t="s">
        <v>15</v>
      </c>
      <c r="D173" s="21" t="s">
        <v>2244</v>
      </c>
      <c r="E173" s="22">
        <v>634.8</v>
      </c>
      <c r="F173" s="21" t="s">
        <v>17</v>
      </c>
      <c r="G173" s="21" t="s">
        <v>21</v>
      </c>
      <c r="H173" s="21" t="s">
        <v>2245</v>
      </c>
      <c r="I173" s="34" t="s">
        <v>2243</v>
      </c>
      <c r="J173" s="22">
        <f t="shared" si="8"/>
        <v>634.8</v>
      </c>
      <c r="K173" s="22">
        <v>634.8</v>
      </c>
      <c r="L173" s="24">
        <f t="shared" si="9"/>
        <v>0</v>
      </c>
      <c r="M173" s="25"/>
      <c r="N173" s="26"/>
    </row>
    <row r="174" spans="2:14">
      <c r="B174" s="34" t="s">
        <v>2243</v>
      </c>
      <c r="C174" s="20" t="s">
        <v>15</v>
      </c>
      <c r="D174" s="21" t="s">
        <v>2246</v>
      </c>
      <c r="E174" s="22">
        <v>219.4</v>
      </c>
      <c r="F174" s="21" t="s">
        <v>17</v>
      </c>
      <c r="G174" s="21" t="s">
        <v>21</v>
      </c>
      <c r="H174" s="21" t="s">
        <v>2247</v>
      </c>
      <c r="I174" s="34" t="s">
        <v>2243</v>
      </c>
      <c r="J174" s="22">
        <f t="shared" si="8"/>
        <v>219.4</v>
      </c>
      <c r="K174" s="22">
        <v>219.4</v>
      </c>
      <c r="L174" s="24">
        <f t="shared" si="9"/>
        <v>0</v>
      </c>
      <c r="M174" s="35"/>
      <c r="N174" s="26"/>
    </row>
    <row r="175" spans="2:14">
      <c r="B175" s="34" t="s">
        <v>2243</v>
      </c>
      <c r="C175" s="20" t="s">
        <v>15</v>
      </c>
      <c r="D175" s="21" t="s">
        <v>2248</v>
      </c>
      <c r="E175" s="22">
        <v>78.28</v>
      </c>
      <c r="F175" s="21" t="s">
        <v>17</v>
      </c>
      <c r="G175" s="21" t="s">
        <v>21</v>
      </c>
      <c r="H175" s="21" t="s">
        <v>2249</v>
      </c>
      <c r="I175" s="34" t="s">
        <v>2243</v>
      </c>
      <c r="J175" s="22">
        <f t="shared" si="8"/>
        <v>78.28</v>
      </c>
      <c r="K175" s="22">
        <v>78.28</v>
      </c>
      <c r="L175" s="24">
        <f t="shared" si="9"/>
        <v>0</v>
      </c>
      <c r="M175" s="25"/>
      <c r="N175" s="26"/>
    </row>
    <row r="176" spans="2:14">
      <c r="B176" s="34" t="s">
        <v>2243</v>
      </c>
      <c r="C176" s="20" t="s">
        <v>15</v>
      </c>
      <c r="D176" s="21" t="s">
        <v>2250</v>
      </c>
      <c r="E176" s="22">
        <v>104.37</v>
      </c>
      <c r="F176" s="21" t="s">
        <v>1546</v>
      </c>
      <c r="G176" s="21"/>
      <c r="H176" s="21" t="s">
        <v>2251</v>
      </c>
      <c r="I176" s="34" t="s">
        <v>2243</v>
      </c>
      <c r="J176" s="22">
        <f t="shared" si="8"/>
        <v>104.37</v>
      </c>
      <c r="K176" s="22">
        <v>104.37</v>
      </c>
      <c r="L176" s="24">
        <f t="shared" si="9"/>
        <v>0</v>
      </c>
      <c r="M176" s="25"/>
      <c r="N176" s="26"/>
    </row>
    <row r="177" spans="2:14">
      <c r="B177" s="34" t="s">
        <v>2243</v>
      </c>
      <c r="C177" s="20" t="s">
        <v>64</v>
      </c>
      <c r="D177" s="21" t="s">
        <v>2252</v>
      </c>
      <c r="E177" s="22">
        <v>738.97</v>
      </c>
      <c r="F177" s="21" t="s">
        <v>29</v>
      </c>
      <c r="G177" s="21"/>
      <c r="H177" s="21" t="s">
        <v>2253</v>
      </c>
      <c r="I177" s="34" t="s">
        <v>2243</v>
      </c>
      <c r="J177" s="22">
        <f t="shared" si="8"/>
        <v>738.97</v>
      </c>
      <c r="K177" s="22">
        <v>738.97</v>
      </c>
      <c r="L177" s="24">
        <f t="shared" si="9"/>
        <v>0</v>
      </c>
      <c r="M177" s="25"/>
      <c r="N177" s="26"/>
    </row>
    <row r="178" spans="2:14">
      <c r="B178" s="34"/>
      <c r="C178" s="20"/>
      <c r="D178" s="21"/>
      <c r="E178" s="22"/>
      <c r="F178" s="21"/>
      <c r="G178" s="21"/>
      <c r="H178" s="21"/>
      <c r="I178" s="34"/>
      <c r="J178" s="22">
        <f t="shared" si="8"/>
        <v>0</v>
      </c>
      <c r="K178" s="22"/>
      <c r="L178" s="24">
        <f t="shared" si="9"/>
        <v>0</v>
      </c>
      <c r="M178" s="25"/>
      <c r="N178" s="31"/>
    </row>
    <row r="179" spans="2:14">
      <c r="B179" s="34"/>
      <c r="C179" s="20"/>
      <c r="D179" s="21"/>
      <c r="E179" s="22"/>
      <c r="F179" s="21"/>
      <c r="G179" s="21"/>
      <c r="H179" s="21"/>
      <c r="I179" s="34"/>
      <c r="J179" s="22">
        <f t="shared" si="8"/>
        <v>0</v>
      </c>
      <c r="K179" s="69"/>
      <c r="L179" s="24">
        <f t="shared" si="9"/>
        <v>0</v>
      </c>
      <c r="M179" s="25"/>
      <c r="N179" s="26"/>
    </row>
    <row r="180" spans="2:14">
      <c r="B180" s="34"/>
      <c r="C180" s="20"/>
      <c r="D180" s="21"/>
      <c r="E180" s="22"/>
      <c r="F180" s="21"/>
      <c r="G180" s="21"/>
      <c r="H180" s="36"/>
      <c r="I180" s="34"/>
      <c r="J180" s="22">
        <f t="shared" si="8"/>
        <v>0</v>
      </c>
      <c r="K180" s="22"/>
      <c r="L180" s="24">
        <f t="shared" si="9"/>
        <v>0</v>
      </c>
      <c r="M180" s="25"/>
      <c r="N180" s="26"/>
    </row>
    <row r="181" spans="2:14">
      <c r="B181" s="34"/>
      <c r="C181" s="20"/>
      <c r="D181" s="21"/>
      <c r="E181" s="22"/>
      <c r="F181" s="21"/>
      <c r="G181" s="21"/>
      <c r="H181" s="21"/>
      <c r="I181" s="34"/>
      <c r="J181" s="22">
        <f t="shared" si="8"/>
        <v>0</v>
      </c>
      <c r="K181" s="22"/>
      <c r="L181" s="24">
        <f t="shared" si="9"/>
        <v>0</v>
      </c>
      <c r="M181" s="25"/>
      <c r="N181" s="26"/>
    </row>
    <row r="182" spans="2:14">
      <c r="B182" s="34"/>
      <c r="C182" s="20"/>
      <c r="D182" s="21"/>
      <c r="E182" s="37"/>
      <c r="F182" s="21"/>
      <c r="G182" s="21"/>
      <c r="H182" s="21"/>
      <c r="I182" s="34"/>
      <c r="J182" s="22">
        <f t="shared" si="8"/>
        <v>0</v>
      </c>
      <c r="K182" s="37"/>
      <c r="L182" s="24">
        <f t="shared" si="9"/>
        <v>0</v>
      </c>
      <c r="M182" s="25"/>
      <c r="N182" s="26"/>
    </row>
    <row r="183" spans="2:14">
      <c r="B183" s="34"/>
      <c r="C183" s="20"/>
      <c r="D183" s="21"/>
      <c r="E183" s="37"/>
      <c r="F183" s="21"/>
      <c r="G183" s="21"/>
      <c r="H183" s="21"/>
      <c r="I183" s="34"/>
      <c r="J183" s="22">
        <f t="shared" si="8"/>
        <v>0</v>
      </c>
      <c r="K183" s="37"/>
      <c r="L183" s="24">
        <f t="shared" si="9"/>
        <v>0</v>
      </c>
      <c r="M183" s="25"/>
      <c r="N183" s="26"/>
    </row>
    <row r="184" spans="2:14">
      <c r="B184" s="34"/>
      <c r="C184" s="20"/>
      <c r="D184" s="21"/>
      <c r="E184" s="37"/>
      <c r="F184" s="21"/>
      <c r="G184" s="21"/>
      <c r="H184" s="21"/>
      <c r="I184" s="34"/>
      <c r="J184" s="22">
        <f t="shared" si="8"/>
        <v>0</v>
      </c>
      <c r="K184" s="37"/>
      <c r="L184" s="24">
        <f t="shared" si="9"/>
        <v>0</v>
      </c>
      <c r="M184" s="25"/>
      <c r="N184" s="26"/>
    </row>
    <row r="185" spans="2:14">
      <c r="B185" s="34"/>
      <c r="C185" s="20"/>
      <c r="D185" s="21"/>
      <c r="E185" s="37"/>
      <c r="F185" s="21"/>
      <c r="G185" s="21"/>
      <c r="H185" s="21"/>
      <c r="I185" s="34"/>
      <c r="J185" s="22">
        <f t="shared" si="8"/>
        <v>0</v>
      </c>
      <c r="K185" s="37"/>
      <c r="L185" s="24">
        <f t="shared" si="9"/>
        <v>0</v>
      </c>
      <c r="M185" s="25"/>
      <c r="N185" s="26"/>
    </row>
    <row r="186" spans="2:14">
      <c r="B186" s="34"/>
      <c r="C186" s="20"/>
      <c r="D186" s="21"/>
      <c r="E186" s="37"/>
      <c r="F186" s="21"/>
      <c r="G186" s="21"/>
      <c r="H186" s="21"/>
      <c r="I186" s="34"/>
      <c r="J186" s="22">
        <f t="shared" si="8"/>
        <v>0</v>
      </c>
      <c r="K186" s="37"/>
      <c r="L186" s="24">
        <f t="shared" si="9"/>
        <v>0</v>
      </c>
      <c r="M186" s="25"/>
      <c r="N186" s="26"/>
    </row>
    <row r="187" spans="2:14">
      <c r="B187" s="34"/>
      <c r="C187" s="20"/>
      <c r="D187" s="21"/>
      <c r="E187" s="37"/>
      <c r="F187" s="21"/>
      <c r="G187" s="21"/>
      <c r="H187" s="21"/>
      <c r="I187" s="34"/>
      <c r="J187" s="22">
        <f t="shared" si="8"/>
        <v>0</v>
      </c>
      <c r="K187" s="37"/>
      <c r="L187" s="24">
        <f t="shared" si="9"/>
        <v>0</v>
      </c>
      <c r="M187" s="25"/>
      <c r="N187" s="26"/>
    </row>
    <row r="188" spans="2:14">
      <c r="B188" s="34"/>
      <c r="C188" s="20"/>
      <c r="D188" s="21"/>
      <c r="E188" s="37"/>
      <c r="F188" s="21"/>
      <c r="G188" s="21"/>
      <c r="H188" s="21"/>
      <c r="I188" s="34"/>
      <c r="J188" s="22">
        <f t="shared" si="8"/>
        <v>0</v>
      </c>
      <c r="K188" s="37"/>
      <c r="L188" s="24">
        <f t="shared" si="9"/>
        <v>0</v>
      </c>
      <c r="M188" s="25"/>
      <c r="N188" s="26"/>
    </row>
    <row r="189" spans="2:14">
      <c r="B189" s="34"/>
      <c r="C189" s="20"/>
      <c r="D189" s="21"/>
      <c r="E189" s="38"/>
      <c r="F189" s="21"/>
      <c r="G189" s="21"/>
      <c r="H189" s="21"/>
      <c r="I189" s="34"/>
      <c r="J189" s="22">
        <f t="shared" si="8"/>
        <v>0</v>
      </c>
      <c r="K189" s="38"/>
      <c r="L189" s="24">
        <f t="shared" si="9"/>
        <v>0</v>
      </c>
      <c r="M189" s="25"/>
      <c r="N189" s="26"/>
    </row>
    <row r="190" spans="2:14">
      <c r="B190" s="34"/>
      <c r="C190" s="20"/>
      <c r="D190" s="21"/>
      <c r="E190" s="38"/>
      <c r="F190" s="21"/>
      <c r="G190" s="21"/>
      <c r="H190" s="21"/>
      <c r="I190" s="34"/>
      <c r="J190" s="22">
        <f t="shared" si="8"/>
        <v>0</v>
      </c>
      <c r="K190" s="38"/>
      <c r="L190" s="24">
        <f t="shared" si="9"/>
        <v>0</v>
      </c>
      <c r="M190" s="25"/>
      <c r="N190" s="26"/>
    </row>
    <row r="191" spans="2:14">
      <c r="B191" s="34"/>
      <c r="C191" s="20"/>
      <c r="D191" s="21"/>
      <c r="E191" s="38"/>
      <c r="F191" s="21"/>
      <c r="G191" s="21"/>
      <c r="H191" s="21"/>
      <c r="I191" s="34"/>
      <c r="J191" s="22">
        <f t="shared" si="8"/>
        <v>0</v>
      </c>
      <c r="K191" s="38"/>
      <c r="L191" s="24">
        <f t="shared" si="9"/>
        <v>0</v>
      </c>
      <c r="M191" s="25"/>
      <c r="N191" s="26"/>
    </row>
    <row r="192" spans="2:14">
      <c r="B192" s="34"/>
      <c r="C192" s="20"/>
      <c r="D192" s="21"/>
      <c r="E192" s="38"/>
      <c r="F192" s="21"/>
      <c r="G192" s="21"/>
      <c r="H192" s="21"/>
      <c r="I192" s="34"/>
      <c r="J192" s="22">
        <f t="shared" si="8"/>
        <v>0</v>
      </c>
      <c r="K192" s="38"/>
      <c r="L192" s="24">
        <f t="shared" si="9"/>
        <v>0</v>
      </c>
      <c r="M192" s="25"/>
      <c r="N192" s="26"/>
    </row>
    <row r="193" spans="2:14">
      <c r="B193" s="34"/>
      <c r="C193" s="20"/>
      <c r="D193" s="21"/>
      <c r="E193" s="38"/>
      <c r="F193" s="21"/>
      <c r="G193" s="21"/>
      <c r="H193" s="21"/>
      <c r="I193" s="34"/>
      <c r="J193" s="22">
        <f t="shared" ref="J193:J256" si="10">E193</f>
        <v>0</v>
      </c>
      <c r="K193" s="38"/>
      <c r="L193" s="24">
        <f t="shared" si="9"/>
        <v>0</v>
      </c>
      <c r="M193" s="25"/>
      <c r="N193" s="26"/>
    </row>
    <row r="194" spans="2:14">
      <c r="B194" s="34"/>
      <c r="C194" s="20"/>
      <c r="D194" s="21"/>
      <c r="E194" s="38"/>
      <c r="F194" s="21"/>
      <c r="G194" s="21"/>
      <c r="H194" s="21"/>
      <c r="I194" s="34"/>
      <c r="J194" s="22">
        <f t="shared" si="10"/>
        <v>0</v>
      </c>
      <c r="K194" s="38"/>
      <c r="L194" s="24">
        <f t="shared" si="9"/>
        <v>0</v>
      </c>
      <c r="M194" s="25"/>
      <c r="N194" s="31"/>
    </row>
    <row r="195" spans="2:14">
      <c r="B195" s="34"/>
      <c r="C195" s="20"/>
      <c r="D195" s="21"/>
      <c r="E195" s="38"/>
      <c r="F195" s="21"/>
      <c r="G195" s="21"/>
      <c r="H195" s="21"/>
      <c r="I195" s="34"/>
      <c r="J195" s="22">
        <f t="shared" si="10"/>
        <v>0</v>
      </c>
      <c r="K195" s="38"/>
      <c r="L195" s="24">
        <f t="shared" si="9"/>
        <v>0</v>
      </c>
      <c r="M195" s="25"/>
      <c r="N195" s="26"/>
    </row>
    <row r="196" spans="2:14">
      <c r="B196" s="34"/>
      <c r="C196" s="20"/>
      <c r="D196" s="21"/>
      <c r="E196" s="38"/>
      <c r="F196" s="21"/>
      <c r="G196" s="21"/>
      <c r="H196" s="21"/>
      <c r="I196" s="34"/>
      <c r="J196" s="22">
        <f t="shared" si="10"/>
        <v>0</v>
      </c>
      <c r="K196" s="38"/>
      <c r="L196" s="24">
        <f t="shared" si="9"/>
        <v>0</v>
      </c>
      <c r="M196" s="25"/>
      <c r="N196" s="26"/>
    </row>
    <row r="197" spans="2:14">
      <c r="B197" s="34"/>
      <c r="C197" s="20"/>
      <c r="D197" s="21"/>
      <c r="E197" s="38"/>
      <c r="F197" s="21"/>
      <c r="G197" s="21"/>
      <c r="H197" s="21"/>
      <c r="I197" s="34"/>
      <c r="J197" s="22">
        <f t="shared" si="10"/>
        <v>0</v>
      </c>
      <c r="K197" s="22"/>
      <c r="L197" s="24">
        <f t="shared" si="9"/>
        <v>0</v>
      </c>
      <c r="M197" s="25"/>
      <c r="N197" s="26"/>
    </row>
    <row r="198" spans="2:14">
      <c r="B198" s="34"/>
      <c r="C198" s="20"/>
      <c r="D198" s="21"/>
      <c r="E198" s="38"/>
      <c r="F198" s="21"/>
      <c r="G198" s="21"/>
      <c r="H198" s="21"/>
      <c r="I198" s="34"/>
      <c r="J198" s="22">
        <f t="shared" si="10"/>
        <v>0</v>
      </c>
      <c r="K198" s="22"/>
      <c r="L198" s="24">
        <f t="shared" si="9"/>
        <v>0</v>
      </c>
      <c r="M198" s="25"/>
      <c r="N198" s="26"/>
    </row>
    <row r="199" spans="2:14">
      <c r="B199" s="34"/>
      <c r="C199" s="20"/>
      <c r="D199" s="21"/>
      <c r="E199" s="38"/>
      <c r="F199" s="21"/>
      <c r="G199" s="21"/>
      <c r="H199" s="21"/>
      <c r="I199" s="34"/>
      <c r="J199" s="22">
        <f t="shared" si="10"/>
        <v>0</v>
      </c>
      <c r="K199" s="22"/>
      <c r="L199" s="24">
        <f t="shared" si="9"/>
        <v>0</v>
      </c>
      <c r="M199" s="25"/>
      <c r="N199" s="26"/>
    </row>
    <row r="200" spans="2:14">
      <c r="B200" s="34"/>
      <c r="C200" s="20"/>
      <c r="D200" s="21"/>
      <c r="E200" s="38"/>
      <c r="F200" s="21"/>
      <c r="G200" s="21"/>
      <c r="H200" s="21"/>
      <c r="I200" s="34"/>
      <c r="J200" s="22">
        <f t="shared" si="10"/>
        <v>0</v>
      </c>
      <c r="K200" s="22"/>
      <c r="L200" s="24">
        <f t="shared" si="9"/>
        <v>0</v>
      </c>
      <c r="M200" s="25"/>
      <c r="N200" s="31"/>
    </row>
    <row r="201" spans="2:14">
      <c r="B201" s="34"/>
      <c r="C201" s="20"/>
      <c r="D201" s="21"/>
      <c r="E201" s="38"/>
      <c r="F201" s="21"/>
      <c r="G201" s="21"/>
      <c r="H201" s="21"/>
      <c r="I201" s="34"/>
      <c r="J201" s="22">
        <f t="shared" si="10"/>
        <v>0</v>
      </c>
      <c r="K201" s="22"/>
      <c r="L201" s="24">
        <f t="shared" si="9"/>
        <v>0</v>
      </c>
      <c r="M201" s="25"/>
      <c r="N201" s="26"/>
    </row>
    <row r="202" spans="2:14">
      <c r="B202" s="34"/>
      <c r="C202" s="20"/>
      <c r="D202" s="21"/>
      <c r="E202" s="38"/>
      <c r="F202" s="21"/>
      <c r="G202" s="21"/>
      <c r="H202" s="21"/>
      <c r="I202" s="34"/>
      <c r="J202" s="22">
        <f t="shared" si="10"/>
        <v>0</v>
      </c>
      <c r="K202" s="22"/>
      <c r="L202" s="24">
        <f t="shared" si="9"/>
        <v>0</v>
      </c>
      <c r="M202" s="25"/>
      <c r="N202" s="26"/>
    </row>
    <row r="203" spans="2:14">
      <c r="B203" s="34"/>
      <c r="C203" s="20"/>
      <c r="D203" s="21"/>
      <c r="E203" s="38"/>
      <c r="F203" s="21"/>
      <c r="G203" s="21"/>
      <c r="H203" s="21"/>
      <c r="I203" s="34"/>
      <c r="J203" s="22">
        <f t="shared" si="10"/>
        <v>0</v>
      </c>
      <c r="K203" s="22"/>
      <c r="L203" s="24">
        <f t="shared" si="9"/>
        <v>0</v>
      </c>
      <c r="M203" s="25"/>
      <c r="N203" s="26"/>
    </row>
    <row r="204" spans="2:14">
      <c r="B204" s="34"/>
      <c r="C204" s="20"/>
      <c r="D204" s="21"/>
      <c r="E204" s="38"/>
      <c r="F204" s="21"/>
      <c r="G204" s="21"/>
      <c r="H204" s="34"/>
      <c r="I204" s="34"/>
      <c r="J204" s="22">
        <f t="shared" si="10"/>
        <v>0</v>
      </c>
      <c r="K204" s="22"/>
      <c r="L204" s="24">
        <f t="shared" ref="L204:L267" si="11">J204-K204</f>
        <v>0</v>
      </c>
      <c r="M204" s="25"/>
      <c r="N204" s="26"/>
    </row>
    <row r="205" spans="2:14">
      <c r="B205" s="34"/>
      <c r="C205" s="20"/>
      <c r="D205" s="21"/>
      <c r="E205" s="38"/>
      <c r="F205" s="21"/>
      <c r="G205" s="21"/>
      <c r="H205" s="21"/>
      <c r="I205" s="34"/>
      <c r="J205" s="22">
        <f t="shared" si="10"/>
        <v>0</v>
      </c>
      <c r="K205" s="22"/>
      <c r="L205" s="24">
        <f t="shared" si="11"/>
        <v>0</v>
      </c>
      <c r="M205" s="25"/>
      <c r="N205" s="31"/>
    </row>
    <row r="206" spans="2:14">
      <c r="B206" s="34"/>
      <c r="C206" s="20"/>
      <c r="D206" s="21"/>
      <c r="E206" s="38"/>
      <c r="F206" s="21"/>
      <c r="G206" s="21"/>
      <c r="H206" s="21"/>
      <c r="I206" s="34"/>
      <c r="J206" s="22">
        <f t="shared" si="10"/>
        <v>0</v>
      </c>
      <c r="K206" s="22"/>
      <c r="L206" s="24">
        <f t="shared" si="11"/>
        <v>0</v>
      </c>
      <c r="M206" s="25"/>
      <c r="N206" s="31"/>
    </row>
    <row r="207" spans="2:14">
      <c r="B207" s="34"/>
      <c r="C207" s="20"/>
      <c r="D207" s="21"/>
      <c r="E207" s="38"/>
      <c r="F207" s="21"/>
      <c r="G207" s="21"/>
      <c r="H207" s="21"/>
      <c r="I207" s="34"/>
      <c r="J207" s="22">
        <f t="shared" si="10"/>
        <v>0</v>
      </c>
      <c r="K207" s="22"/>
      <c r="L207" s="43">
        <f t="shared" si="11"/>
        <v>0</v>
      </c>
      <c r="M207" s="25"/>
      <c r="N207" s="26"/>
    </row>
    <row r="208" spans="2:14">
      <c r="B208" s="34"/>
      <c r="C208" s="20"/>
      <c r="D208" s="21"/>
      <c r="E208" s="38"/>
      <c r="F208" s="21"/>
      <c r="G208" s="21"/>
      <c r="H208" s="21"/>
      <c r="I208" s="34"/>
      <c r="J208" s="22">
        <f t="shared" si="10"/>
        <v>0</v>
      </c>
      <c r="K208" s="22"/>
      <c r="L208" s="43">
        <f t="shared" si="11"/>
        <v>0</v>
      </c>
      <c r="M208" s="25"/>
      <c r="N208" s="31"/>
    </row>
    <row r="209" spans="2:14">
      <c r="B209" s="34"/>
      <c r="C209" s="20"/>
      <c r="D209" s="21"/>
      <c r="E209" s="38"/>
      <c r="F209" s="21"/>
      <c r="G209" s="21"/>
      <c r="H209" s="21"/>
      <c r="I209" s="34"/>
      <c r="J209" s="22">
        <f t="shared" si="10"/>
        <v>0</v>
      </c>
      <c r="K209" s="22"/>
      <c r="L209" s="43">
        <f t="shared" si="11"/>
        <v>0</v>
      </c>
      <c r="M209" s="25"/>
      <c r="N209" s="31"/>
    </row>
    <row r="210" spans="2:14">
      <c r="B210" s="34"/>
      <c r="C210" s="20"/>
      <c r="D210" s="21"/>
      <c r="E210" s="38"/>
      <c r="F210" s="21"/>
      <c r="G210" s="21"/>
      <c r="H210" s="21"/>
      <c r="I210" s="34"/>
      <c r="J210" s="22">
        <f t="shared" si="10"/>
        <v>0</v>
      </c>
      <c r="K210" s="22"/>
      <c r="L210" s="43">
        <f t="shared" si="11"/>
        <v>0</v>
      </c>
      <c r="M210" s="25"/>
      <c r="N210" s="31"/>
    </row>
    <row r="211" spans="2:14">
      <c r="B211" s="34"/>
      <c r="C211" s="20"/>
      <c r="D211" s="21"/>
      <c r="E211" s="38"/>
      <c r="F211" s="21"/>
      <c r="G211" s="21"/>
      <c r="H211" s="21"/>
      <c r="I211" s="34"/>
      <c r="J211" s="22">
        <f t="shared" si="10"/>
        <v>0</v>
      </c>
      <c r="K211" s="22"/>
      <c r="L211" s="43">
        <f t="shared" si="11"/>
        <v>0</v>
      </c>
      <c r="M211" s="25"/>
      <c r="N211" s="31"/>
    </row>
    <row r="212" spans="2:14">
      <c r="B212" s="34"/>
      <c r="C212" s="20"/>
      <c r="D212" s="21"/>
      <c r="E212" s="38"/>
      <c r="F212" s="21"/>
      <c r="G212" s="21"/>
      <c r="H212" s="21"/>
      <c r="I212" s="34"/>
      <c r="J212" s="22">
        <f t="shared" si="10"/>
        <v>0</v>
      </c>
      <c r="K212" s="22"/>
      <c r="L212" s="43">
        <f t="shared" si="11"/>
        <v>0</v>
      </c>
      <c r="M212" s="25"/>
      <c r="N212" s="31"/>
    </row>
    <row r="213" spans="2:14">
      <c r="B213" s="34"/>
      <c r="C213" s="20"/>
      <c r="D213" s="21"/>
      <c r="E213" s="38"/>
      <c r="F213" s="21"/>
      <c r="G213" s="21"/>
      <c r="H213" s="21"/>
      <c r="I213" s="34"/>
      <c r="J213" s="22">
        <f t="shared" si="10"/>
        <v>0</v>
      </c>
      <c r="K213" s="22"/>
      <c r="L213" s="43">
        <f t="shared" si="11"/>
        <v>0</v>
      </c>
      <c r="M213" s="25"/>
      <c r="N213" s="31"/>
    </row>
    <row r="214" spans="2:14">
      <c r="B214" s="34"/>
      <c r="C214" s="20"/>
      <c r="D214" s="21"/>
      <c r="E214" s="38"/>
      <c r="F214" s="21"/>
      <c r="G214" s="21"/>
      <c r="H214" s="21"/>
      <c r="I214" s="34"/>
      <c r="J214" s="22">
        <f t="shared" si="10"/>
        <v>0</v>
      </c>
      <c r="K214" s="22"/>
      <c r="L214" s="43">
        <f t="shared" si="11"/>
        <v>0</v>
      </c>
      <c r="M214" s="25"/>
      <c r="N214" s="31"/>
    </row>
    <row r="215" spans="2:14">
      <c r="B215" s="34"/>
      <c r="C215" s="20"/>
      <c r="D215" s="21"/>
      <c r="E215" s="38"/>
      <c r="F215" s="21"/>
      <c r="G215" s="21"/>
      <c r="H215" s="21"/>
      <c r="I215" s="34"/>
      <c r="J215" s="22">
        <f t="shared" si="10"/>
        <v>0</v>
      </c>
      <c r="K215" s="22"/>
      <c r="L215" s="43">
        <f t="shared" si="11"/>
        <v>0</v>
      </c>
      <c r="M215" s="25"/>
      <c r="N215" s="31"/>
    </row>
    <row r="216" spans="2:14">
      <c r="B216" s="34"/>
      <c r="C216" s="20"/>
      <c r="D216" s="21"/>
      <c r="E216" s="38"/>
      <c r="F216" s="21"/>
      <c r="G216" s="21"/>
      <c r="H216" s="21"/>
      <c r="I216" s="34"/>
      <c r="J216" s="22">
        <f t="shared" si="10"/>
        <v>0</v>
      </c>
      <c r="K216" s="22"/>
      <c r="L216" s="43">
        <f t="shared" si="11"/>
        <v>0</v>
      </c>
      <c r="M216" s="25"/>
      <c r="N216" s="31"/>
    </row>
    <row r="217" spans="2:14">
      <c r="B217" s="34"/>
      <c r="C217" s="20"/>
      <c r="D217" s="21"/>
      <c r="E217" s="39"/>
      <c r="F217" s="40"/>
      <c r="G217" s="21"/>
      <c r="H217" s="40"/>
      <c r="I217" s="34"/>
      <c r="J217" s="22">
        <f t="shared" si="10"/>
        <v>0</v>
      </c>
      <c r="K217" s="40"/>
      <c r="L217" s="43">
        <f t="shared" si="11"/>
        <v>0</v>
      </c>
      <c r="M217" s="41"/>
      <c r="N217" s="42"/>
    </row>
    <row r="218" spans="2:14">
      <c r="B218" s="34"/>
      <c r="C218" s="20"/>
      <c r="D218" s="21"/>
      <c r="E218" s="39"/>
      <c r="F218" s="40"/>
      <c r="G218" s="21"/>
      <c r="H218" s="40"/>
      <c r="I218" s="34"/>
      <c r="J218" s="22">
        <f t="shared" si="10"/>
        <v>0</v>
      </c>
      <c r="K218" s="40"/>
      <c r="L218" s="43">
        <f t="shared" si="11"/>
        <v>0</v>
      </c>
      <c r="M218" s="41"/>
      <c r="N218" s="42"/>
    </row>
    <row r="219" spans="2:14">
      <c r="B219" s="34"/>
      <c r="C219" s="20"/>
      <c r="D219" s="40"/>
      <c r="E219" s="39"/>
      <c r="F219" s="21"/>
      <c r="G219" s="21"/>
      <c r="H219" s="40"/>
      <c r="I219" s="34"/>
      <c r="J219" s="22">
        <f t="shared" si="10"/>
        <v>0</v>
      </c>
      <c r="K219" s="40"/>
      <c r="L219" s="43">
        <f t="shared" si="11"/>
        <v>0</v>
      </c>
      <c r="M219" s="41"/>
      <c r="N219" s="42"/>
    </row>
    <row r="220" spans="2:14">
      <c r="B220" s="34"/>
      <c r="C220" s="20"/>
      <c r="D220" s="21"/>
      <c r="E220" s="38"/>
      <c r="F220" s="21"/>
      <c r="G220" s="21"/>
      <c r="H220" s="21"/>
      <c r="I220" s="34"/>
      <c r="J220" s="22">
        <f t="shared" si="10"/>
        <v>0</v>
      </c>
      <c r="K220" s="22"/>
      <c r="L220" s="43">
        <f t="shared" si="11"/>
        <v>0</v>
      </c>
      <c r="M220" s="25"/>
      <c r="N220" s="31"/>
    </row>
    <row r="221" spans="2:14">
      <c r="B221" s="34"/>
      <c r="C221" s="20"/>
      <c r="D221" s="21"/>
      <c r="E221" s="38"/>
      <c r="F221" s="21"/>
      <c r="G221" s="21"/>
      <c r="H221" s="21"/>
      <c r="I221" s="34"/>
      <c r="J221" s="22">
        <f t="shared" si="10"/>
        <v>0</v>
      </c>
      <c r="K221" s="22"/>
      <c r="L221" s="43">
        <f t="shared" si="11"/>
        <v>0</v>
      </c>
      <c r="M221" s="25"/>
      <c r="N221" s="31"/>
    </row>
    <row r="222" spans="2:14">
      <c r="B222" s="34"/>
      <c r="C222" s="20"/>
      <c r="D222" s="21"/>
      <c r="E222" s="38"/>
      <c r="F222" s="21"/>
      <c r="G222" s="21"/>
      <c r="H222" s="21"/>
      <c r="I222" s="34"/>
      <c r="J222" s="22">
        <f t="shared" si="10"/>
        <v>0</v>
      </c>
      <c r="K222" s="22"/>
      <c r="L222" s="43">
        <f t="shared" si="11"/>
        <v>0</v>
      </c>
      <c r="M222" s="25"/>
      <c r="N222" s="31"/>
    </row>
    <row r="223" spans="2:14">
      <c r="B223" s="34"/>
      <c r="C223" s="20"/>
      <c r="D223" s="21"/>
      <c r="E223" s="38"/>
      <c r="F223" s="21"/>
      <c r="G223" s="21"/>
      <c r="H223" s="21"/>
      <c r="I223" s="34"/>
      <c r="J223" s="22">
        <f t="shared" si="10"/>
        <v>0</v>
      </c>
      <c r="K223" s="22"/>
      <c r="L223" s="43">
        <f t="shared" si="11"/>
        <v>0</v>
      </c>
      <c r="M223" s="25"/>
      <c r="N223" s="24"/>
    </row>
    <row r="224" spans="2:14">
      <c r="B224" s="34"/>
      <c r="C224" s="20"/>
      <c r="D224" s="21"/>
      <c r="E224" s="38"/>
      <c r="F224" s="21"/>
      <c r="G224" s="21"/>
      <c r="H224" s="21"/>
      <c r="I224" s="34"/>
      <c r="J224" s="22">
        <f t="shared" si="10"/>
        <v>0</v>
      </c>
      <c r="K224" s="22"/>
      <c r="L224" s="43">
        <f t="shared" si="11"/>
        <v>0</v>
      </c>
      <c r="M224" s="25"/>
      <c r="N224" s="42"/>
    </row>
    <row r="225" spans="2:14">
      <c r="B225" s="34"/>
      <c r="C225" s="20"/>
      <c r="D225" s="21"/>
      <c r="E225" s="38"/>
      <c r="F225" s="21"/>
      <c r="G225" s="21"/>
      <c r="H225" s="21"/>
      <c r="I225" s="34"/>
      <c r="J225" s="22">
        <f t="shared" si="10"/>
        <v>0</v>
      </c>
      <c r="K225" s="22"/>
      <c r="L225" s="43">
        <f t="shared" si="11"/>
        <v>0</v>
      </c>
      <c r="M225" s="25"/>
      <c r="N225" s="42"/>
    </row>
    <row r="226" spans="2:14">
      <c r="B226" s="34"/>
      <c r="C226" s="20"/>
      <c r="D226" s="21"/>
      <c r="E226" s="38"/>
      <c r="F226" s="21"/>
      <c r="G226" s="21"/>
      <c r="H226" s="21"/>
      <c r="I226" s="34"/>
      <c r="J226" s="22">
        <f t="shared" si="10"/>
        <v>0</v>
      </c>
      <c r="K226" s="22"/>
      <c r="L226" s="43">
        <f t="shared" si="11"/>
        <v>0</v>
      </c>
      <c r="M226" s="25"/>
      <c r="N226" s="31"/>
    </row>
    <row r="227" spans="2:14">
      <c r="B227" s="34"/>
      <c r="C227" s="20"/>
      <c r="D227" s="21"/>
      <c r="E227" s="38"/>
      <c r="F227" s="21"/>
      <c r="G227" s="21"/>
      <c r="H227" s="21"/>
      <c r="I227" s="34"/>
      <c r="J227" s="22">
        <f t="shared" si="10"/>
        <v>0</v>
      </c>
      <c r="K227" s="22"/>
      <c r="L227" s="43">
        <f t="shared" si="11"/>
        <v>0</v>
      </c>
      <c r="M227" s="25"/>
      <c r="N227" s="31"/>
    </row>
    <row r="228" spans="2:14">
      <c r="B228" s="34"/>
      <c r="C228" s="20"/>
      <c r="D228" s="21"/>
      <c r="E228" s="38"/>
      <c r="F228" s="21"/>
      <c r="G228" s="21"/>
      <c r="H228" s="21"/>
      <c r="I228" s="21"/>
      <c r="J228" s="22">
        <f t="shared" si="10"/>
        <v>0</v>
      </c>
      <c r="K228" s="22"/>
      <c r="L228" s="43">
        <f t="shared" si="11"/>
        <v>0</v>
      </c>
      <c r="M228" s="25"/>
      <c r="N228" s="31"/>
    </row>
    <row r="229" spans="2:14">
      <c r="B229" s="34"/>
      <c r="C229" s="20"/>
      <c r="D229" s="21"/>
      <c r="E229" s="38"/>
      <c r="F229" s="21"/>
      <c r="G229" s="21"/>
      <c r="H229" s="21"/>
      <c r="I229" s="21"/>
      <c r="J229" s="22">
        <f t="shared" si="10"/>
        <v>0</v>
      </c>
      <c r="K229" s="22"/>
      <c r="L229" s="43">
        <f t="shared" si="11"/>
        <v>0</v>
      </c>
      <c r="M229" s="25"/>
      <c r="N229" s="24"/>
    </row>
    <row r="230" spans="2:14">
      <c r="B230" s="34"/>
      <c r="C230" s="20"/>
      <c r="D230" s="21"/>
      <c r="E230" s="38"/>
      <c r="F230" s="21"/>
      <c r="G230" s="21"/>
      <c r="H230" s="21"/>
      <c r="I230" s="21"/>
      <c r="J230" s="22">
        <f t="shared" si="10"/>
        <v>0</v>
      </c>
      <c r="K230" s="22"/>
      <c r="L230" s="43">
        <f t="shared" si="11"/>
        <v>0</v>
      </c>
      <c r="M230" s="25"/>
      <c r="N230" s="24"/>
    </row>
    <row r="231" spans="2:14">
      <c r="B231" s="34"/>
      <c r="C231" s="20"/>
      <c r="D231" s="21"/>
      <c r="E231" s="38"/>
      <c r="F231" s="21"/>
      <c r="G231" s="21"/>
      <c r="H231" s="21"/>
      <c r="I231" s="21"/>
      <c r="J231" s="22">
        <f t="shared" si="10"/>
        <v>0</v>
      </c>
      <c r="K231" s="22"/>
      <c r="L231" s="43">
        <f t="shared" si="11"/>
        <v>0</v>
      </c>
      <c r="M231" s="25"/>
      <c r="N231" s="24"/>
    </row>
    <row r="232" spans="2:14">
      <c r="B232" s="34"/>
      <c r="C232" s="20"/>
      <c r="D232" s="21"/>
      <c r="E232" s="38"/>
      <c r="F232" s="21"/>
      <c r="G232" s="21"/>
      <c r="H232" s="21"/>
      <c r="I232" s="21"/>
      <c r="J232" s="22">
        <f t="shared" si="10"/>
        <v>0</v>
      </c>
      <c r="K232" s="22"/>
      <c r="L232" s="43">
        <f t="shared" si="11"/>
        <v>0</v>
      </c>
      <c r="M232" s="25"/>
      <c r="N232" s="31"/>
    </row>
    <row r="233" spans="2:14">
      <c r="B233" s="34"/>
      <c r="C233" s="20"/>
      <c r="D233" s="21"/>
      <c r="E233" s="38"/>
      <c r="F233" s="21"/>
      <c r="G233" s="21"/>
      <c r="H233" s="21"/>
      <c r="I233" s="21"/>
      <c r="J233" s="22">
        <f t="shared" si="10"/>
        <v>0</v>
      </c>
      <c r="K233" s="22"/>
      <c r="L233" s="43">
        <f t="shared" si="11"/>
        <v>0</v>
      </c>
      <c r="M233" s="25"/>
      <c r="N233" s="24"/>
    </row>
    <row r="234" spans="2:14">
      <c r="B234" s="34"/>
      <c r="C234" s="20"/>
      <c r="D234" s="21"/>
      <c r="E234" s="38"/>
      <c r="F234" s="21"/>
      <c r="G234" s="21"/>
      <c r="H234" s="21"/>
      <c r="I234" s="21"/>
      <c r="J234" s="22">
        <f t="shared" si="10"/>
        <v>0</v>
      </c>
      <c r="K234" s="22"/>
      <c r="L234" s="43">
        <f t="shared" si="11"/>
        <v>0</v>
      </c>
      <c r="M234" s="25"/>
      <c r="N234" s="24"/>
    </row>
    <row r="235" spans="2:14">
      <c r="B235" s="34"/>
      <c r="C235" s="20"/>
      <c r="D235" s="21"/>
      <c r="E235" s="38"/>
      <c r="F235" s="21"/>
      <c r="G235" s="21"/>
      <c r="H235" s="21"/>
      <c r="I235" s="21"/>
      <c r="J235" s="22">
        <f t="shared" si="10"/>
        <v>0</v>
      </c>
      <c r="K235" s="22"/>
      <c r="L235" s="43">
        <f t="shared" si="11"/>
        <v>0</v>
      </c>
      <c r="M235" s="25"/>
      <c r="N235" s="24"/>
    </row>
    <row r="236" spans="2:14">
      <c r="B236" s="34"/>
      <c r="C236" s="20"/>
      <c r="D236" s="21"/>
      <c r="E236" s="38"/>
      <c r="F236" s="21"/>
      <c r="G236" s="21"/>
      <c r="H236" s="21"/>
      <c r="I236" s="21"/>
      <c r="J236" s="22">
        <f t="shared" si="10"/>
        <v>0</v>
      </c>
      <c r="K236" s="22"/>
      <c r="L236" s="43">
        <f t="shared" si="11"/>
        <v>0</v>
      </c>
      <c r="M236" s="25"/>
      <c r="N236" s="24"/>
    </row>
    <row r="237" spans="2:14">
      <c r="B237" s="34"/>
      <c r="C237" s="20"/>
      <c r="D237" s="21"/>
      <c r="E237" s="38"/>
      <c r="F237" s="21"/>
      <c r="G237" s="21"/>
      <c r="H237" s="21"/>
      <c r="I237" s="21"/>
      <c r="J237" s="22">
        <f t="shared" si="10"/>
        <v>0</v>
      </c>
      <c r="K237" s="22"/>
      <c r="L237" s="43">
        <f t="shared" si="11"/>
        <v>0</v>
      </c>
      <c r="M237" s="25"/>
      <c r="N237" s="24"/>
    </row>
    <row r="238" spans="2:14">
      <c r="B238" s="34"/>
      <c r="C238" s="20"/>
      <c r="D238" s="21"/>
      <c r="E238" s="38"/>
      <c r="F238" s="21"/>
      <c r="G238" s="21"/>
      <c r="H238" s="21"/>
      <c r="I238" s="21"/>
      <c r="J238" s="22">
        <f t="shared" si="10"/>
        <v>0</v>
      </c>
      <c r="K238" s="22"/>
      <c r="L238" s="43">
        <f t="shared" si="11"/>
        <v>0</v>
      </c>
      <c r="M238" s="25"/>
      <c r="N238" s="24"/>
    </row>
    <row r="239" spans="2:14">
      <c r="B239" s="34"/>
      <c r="C239" s="20"/>
      <c r="D239" s="21"/>
      <c r="E239" s="38"/>
      <c r="F239" s="21"/>
      <c r="G239" s="21"/>
      <c r="H239" s="21"/>
      <c r="I239" s="21"/>
      <c r="J239" s="22">
        <f t="shared" si="10"/>
        <v>0</v>
      </c>
      <c r="K239" s="22"/>
      <c r="L239" s="43">
        <f t="shared" si="11"/>
        <v>0</v>
      </c>
      <c r="M239" s="25"/>
      <c r="N239" s="24"/>
    </row>
    <row r="240" spans="2:14">
      <c r="B240" s="34"/>
      <c r="C240" s="20"/>
      <c r="D240" s="21"/>
      <c r="E240" s="38"/>
      <c r="F240" s="21"/>
      <c r="G240" s="21"/>
      <c r="H240" s="21"/>
      <c r="I240" s="21"/>
      <c r="J240" s="22">
        <f t="shared" si="10"/>
        <v>0</v>
      </c>
      <c r="K240" s="22"/>
      <c r="L240" s="43">
        <f t="shared" si="11"/>
        <v>0</v>
      </c>
      <c r="M240" s="25"/>
      <c r="N240" s="24"/>
    </row>
    <row r="241" spans="2:14">
      <c r="B241" s="34"/>
      <c r="C241" s="20"/>
      <c r="D241" s="21"/>
      <c r="E241" s="38"/>
      <c r="F241" s="21"/>
      <c r="G241" s="21"/>
      <c r="H241" s="21"/>
      <c r="I241" s="21"/>
      <c r="J241" s="22">
        <f t="shared" si="10"/>
        <v>0</v>
      </c>
      <c r="K241" s="22"/>
      <c r="L241" s="43">
        <f t="shared" si="11"/>
        <v>0</v>
      </c>
      <c r="M241" s="25"/>
      <c r="N241" s="24"/>
    </row>
    <row r="242" spans="2:14">
      <c r="B242" s="34"/>
      <c r="C242" s="20"/>
      <c r="D242" s="21"/>
      <c r="E242" s="38"/>
      <c r="F242" s="21"/>
      <c r="G242" s="21"/>
      <c r="H242" s="21"/>
      <c r="I242" s="21"/>
      <c r="J242" s="22">
        <f t="shared" si="10"/>
        <v>0</v>
      </c>
      <c r="K242" s="22"/>
      <c r="L242" s="43">
        <f t="shared" si="11"/>
        <v>0</v>
      </c>
      <c r="M242" s="25"/>
      <c r="N242" s="24"/>
    </row>
    <row r="243" spans="2:14">
      <c r="B243" s="34"/>
      <c r="C243" s="20"/>
      <c r="D243" s="21"/>
      <c r="E243" s="38"/>
      <c r="F243" s="21"/>
      <c r="G243" s="21"/>
      <c r="H243" s="21"/>
      <c r="I243" s="21"/>
      <c r="J243" s="22">
        <f t="shared" si="10"/>
        <v>0</v>
      </c>
      <c r="K243" s="22"/>
      <c r="L243" s="43">
        <f t="shared" si="11"/>
        <v>0</v>
      </c>
      <c r="M243" s="25"/>
      <c r="N243" s="24"/>
    </row>
    <row r="244" spans="2:14">
      <c r="B244" s="34"/>
      <c r="C244" s="20"/>
      <c r="D244" s="21"/>
      <c r="E244" s="38"/>
      <c r="F244" s="21"/>
      <c r="G244" s="21"/>
      <c r="H244" s="21"/>
      <c r="I244" s="21"/>
      <c r="J244" s="22">
        <f t="shared" si="10"/>
        <v>0</v>
      </c>
      <c r="K244" s="22"/>
      <c r="L244" s="43">
        <f t="shared" si="11"/>
        <v>0</v>
      </c>
      <c r="M244" s="25"/>
      <c r="N244" s="24"/>
    </row>
    <row r="245" spans="2:14">
      <c r="B245" s="34"/>
      <c r="C245" s="20"/>
      <c r="D245" s="21"/>
      <c r="E245" s="38"/>
      <c r="F245" s="21"/>
      <c r="G245" s="21"/>
      <c r="H245" s="21"/>
      <c r="I245" s="21"/>
      <c r="J245" s="22">
        <f t="shared" si="10"/>
        <v>0</v>
      </c>
      <c r="K245" s="22"/>
      <c r="L245" s="43">
        <f t="shared" si="11"/>
        <v>0</v>
      </c>
      <c r="M245" s="25"/>
      <c r="N245" s="24"/>
    </row>
    <row r="246" spans="2:14">
      <c r="B246" s="34"/>
      <c r="C246" s="20"/>
      <c r="D246" s="21"/>
      <c r="E246" s="38"/>
      <c r="F246" s="21"/>
      <c r="G246" s="21"/>
      <c r="H246" s="21"/>
      <c r="I246" s="21"/>
      <c r="J246" s="22">
        <f t="shared" si="10"/>
        <v>0</v>
      </c>
      <c r="K246" s="22"/>
      <c r="L246" s="43">
        <f t="shared" si="11"/>
        <v>0</v>
      </c>
      <c r="M246" s="25"/>
      <c r="N246" s="24"/>
    </row>
    <row r="247" spans="2:14">
      <c r="B247" s="34"/>
      <c r="C247" s="20"/>
      <c r="D247" s="21"/>
      <c r="E247" s="38"/>
      <c r="F247" s="21"/>
      <c r="G247" s="21"/>
      <c r="H247" s="21"/>
      <c r="I247" s="21"/>
      <c r="J247" s="22">
        <f t="shared" si="10"/>
        <v>0</v>
      </c>
      <c r="K247" s="22"/>
      <c r="L247" s="43">
        <f t="shared" si="11"/>
        <v>0</v>
      </c>
      <c r="M247" s="25"/>
      <c r="N247" s="24"/>
    </row>
    <row r="248" spans="2:14">
      <c r="B248" s="34"/>
      <c r="C248" s="20"/>
      <c r="D248" s="21"/>
      <c r="E248" s="38"/>
      <c r="F248" s="21"/>
      <c r="G248" s="21"/>
      <c r="H248" s="21"/>
      <c r="I248" s="21"/>
      <c r="J248" s="22">
        <f t="shared" si="10"/>
        <v>0</v>
      </c>
      <c r="K248" s="22"/>
      <c r="L248" s="43">
        <f t="shared" si="11"/>
        <v>0</v>
      </c>
      <c r="M248" s="25"/>
      <c r="N248" s="24"/>
    </row>
    <row r="249" spans="2:14">
      <c r="B249" s="34"/>
      <c r="C249" s="20"/>
      <c r="D249" s="21"/>
      <c r="E249" s="38"/>
      <c r="F249" s="21"/>
      <c r="G249" s="21"/>
      <c r="H249" s="21"/>
      <c r="I249" s="21"/>
      <c r="J249" s="22">
        <f t="shared" si="10"/>
        <v>0</v>
      </c>
      <c r="K249" s="22"/>
      <c r="L249" s="43">
        <f t="shared" si="11"/>
        <v>0</v>
      </c>
      <c r="M249" s="25"/>
      <c r="N249" s="24"/>
    </row>
    <row r="250" spans="2:14">
      <c r="B250" s="34"/>
      <c r="C250" s="20"/>
      <c r="D250" s="21"/>
      <c r="E250" s="38"/>
      <c r="F250" s="21"/>
      <c r="G250" s="21"/>
      <c r="H250" s="21"/>
      <c r="I250" s="21"/>
      <c r="J250" s="22">
        <f t="shared" si="10"/>
        <v>0</v>
      </c>
      <c r="K250" s="22"/>
      <c r="L250" s="43">
        <f t="shared" si="11"/>
        <v>0</v>
      </c>
      <c r="M250" s="25"/>
      <c r="N250" s="24"/>
    </row>
    <row r="251" spans="2:14">
      <c r="B251" s="34"/>
      <c r="C251" s="20"/>
      <c r="D251" s="21"/>
      <c r="E251" s="38"/>
      <c r="F251" s="21"/>
      <c r="G251" s="21"/>
      <c r="H251" s="21"/>
      <c r="I251" s="21"/>
      <c r="J251" s="22">
        <f t="shared" si="10"/>
        <v>0</v>
      </c>
      <c r="K251" s="22"/>
      <c r="L251" s="43">
        <f t="shared" si="11"/>
        <v>0</v>
      </c>
      <c r="M251" s="25"/>
      <c r="N251" s="24"/>
    </row>
    <row r="252" spans="2:14">
      <c r="B252" s="34"/>
      <c r="C252" s="20"/>
      <c r="D252" s="21"/>
      <c r="E252" s="38"/>
      <c r="F252" s="21"/>
      <c r="G252" s="21"/>
      <c r="H252" s="21"/>
      <c r="I252" s="21"/>
      <c r="J252" s="22">
        <f t="shared" si="10"/>
        <v>0</v>
      </c>
      <c r="K252" s="22"/>
      <c r="L252" s="43">
        <f t="shared" si="11"/>
        <v>0</v>
      </c>
      <c r="M252" s="25"/>
      <c r="N252" s="24"/>
    </row>
    <row r="253" spans="2:14">
      <c r="B253" s="34"/>
      <c r="C253" s="20"/>
      <c r="D253" s="21"/>
      <c r="E253" s="38"/>
      <c r="F253" s="21"/>
      <c r="G253" s="21"/>
      <c r="H253" s="21"/>
      <c r="I253" s="21"/>
      <c r="J253" s="22">
        <f t="shared" si="10"/>
        <v>0</v>
      </c>
      <c r="K253" s="22"/>
      <c r="L253" s="43">
        <f t="shared" si="11"/>
        <v>0</v>
      </c>
      <c r="M253" s="25"/>
      <c r="N253" s="24"/>
    </row>
    <row r="254" spans="2:14">
      <c r="B254" s="34"/>
      <c r="C254" s="20"/>
      <c r="D254" s="21"/>
      <c r="E254" s="38"/>
      <c r="F254" s="21"/>
      <c r="G254" s="21"/>
      <c r="H254" s="21"/>
      <c r="I254" s="21"/>
      <c r="J254" s="22">
        <f t="shared" si="10"/>
        <v>0</v>
      </c>
      <c r="K254" s="22"/>
      <c r="L254" s="43">
        <f t="shared" si="11"/>
        <v>0</v>
      </c>
      <c r="M254" s="25"/>
      <c r="N254" s="24"/>
    </row>
    <row r="255" spans="2:14">
      <c r="B255" s="34"/>
      <c r="C255" s="20"/>
      <c r="D255" s="21"/>
      <c r="E255" s="38"/>
      <c r="F255" s="21"/>
      <c r="G255" s="21"/>
      <c r="H255" s="21"/>
      <c r="I255" s="21"/>
      <c r="J255" s="22">
        <f t="shared" si="10"/>
        <v>0</v>
      </c>
      <c r="K255" s="22"/>
      <c r="L255" s="43">
        <f t="shared" si="11"/>
        <v>0</v>
      </c>
      <c r="M255" s="25"/>
      <c r="N255" s="24"/>
    </row>
    <row r="256" spans="2:14">
      <c r="B256" s="34"/>
      <c r="C256" s="20"/>
      <c r="D256" s="21"/>
      <c r="E256" s="38"/>
      <c r="F256" s="21"/>
      <c r="G256" s="21"/>
      <c r="H256" s="21"/>
      <c r="I256" s="21"/>
      <c r="J256" s="22">
        <f t="shared" si="10"/>
        <v>0</v>
      </c>
      <c r="K256" s="22"/>
      <c r="L256" s="43">
        <f t="shared" si="11"/>
        <v>0</v>
      </c>
      <c r="M256" s="25"/>
      <c r="N256" s="24"/>
    </row>
    <row r="257" spans="2:14">
      <c r="B257" s="34"/>
      <c r="C257" s="20"/>
      <c r="D257" s="21"/>
      <c r="E257" s="38"/>
      <c r="F257" s="21"/>
      <c r="G257" s="21"/>
      <c r="H257" s="21"/>
      <c r="I257" s="21"/>
      <c r="J257" s="22">
        <f t="shared" ref="J257:J268" si="12">E257</f>
        <v>0</v>
      </c>
      <c r="K257" s="22"/>
      <c r="L257" s="43">
        <f t="shared" si="11"/>
        <v>0</v>
      </c>
      <c r="M257" s="25"/>
      <c r="N257" s="24"/>
    </row>
    <row r="258" spans="2:14">
      <c r="B258" s="34"/>
      <c r="C258" s="20"/>
      <c r="D258" s="21"/>
      <c r="E258" s="38"/>
      <c r="F258" s="21"/>
      <c r="G258" s="21"/>
      <c r="H258" s="21"/>
      <c r="I258" s="21"/>
      <c r="J258" s="22">
        <f t="shared" si="12"/>
        <v>0</v>
      </c>
      <c r="K258" s="22"/>
      <c r="L258" s="43">
        <f t="shared" si="11"/>
        <v>0</v>
      </c>
      <c r="M258" s="25"/>
      <c r="N258" s="24"/>
    </row>
    <row r="259" spans="2:14">
      <c r="B259" s="34"/>
      <c r="C259" s="20"/>
      <c r="D259" s="21"/>
      <c r="E259" s="38"/>
      <c r="F259" s="21"/>
      <c r="G259" s="21"/>
      <c r="H259" s="21"/>
      <c r="I259" s="21"/>
      <c r="J259" s="22">
        <f t="shared" si="12"/>
        <v>0</v>
      </c>
      <c r="K259" s="22"/>
      <c r="L259" s="43">
        <f t="shared" si="11"/>
        <v>0</v>
      </c>
      <c r="M259" s="25"/>
      <c r="N259" s="24"/>
    </row>
    <row r="260" spans="2:14">
      <c r="B260" s="34"/>
      <c r="C260" s="20"/>
      <c r="D260" s="21"/>
      <c r="E260" s="38"/>
      <c r="F260" s="21"/>
      <c r="G260" s="21"/>
      <c r="H260" s="21"/>
      <c r="I260" s="21"/>
      <c r="J260" s="22">
        <f t="shared" si="12"/>
        <v>0</v>
      </c>
      <c r="K260" s="22"/>
      <c r="L260" s="43">
        <f t="shared" si="11"/>
        <v>0</v>
      </c>
      <c r="M260" s="25"/>
      <c r="N260" s="24"/>
    </row>
    <row r="261" spans="2:14">
      <c r="B261" s="34"/>
      <c r="C261" s="20"/>
      <c r="D261" s="21"/>
      <c r="E261" s="38"/>
      <c r="F261" s="21"/>
      <c r="G261" s="21"/>
      <c r="H261" s="21"/>
      <c r="I261" s="21"/>
      <c r="J261" s="22">
        <f t="shared" si="12"/>
        <v>0</v>
      </c>
      <c r="K261" s="22"/>
      <c r="L261" s="43">
        <f t="shared" si="11"/>
        <v>0</v>
      </c>
      <c r="M261" s="25"/>
      <c r="N261" s="24"/>
    </row>
    <row r="262" spans="2:14">
      <c r="B262" s="34"/>
      <c r="C262" s="20"/>
      <c r="D262" s="21"/>
      <c r="E262" s="38"/>
      <c r="F262" s="21"/>
      <c r="G262" s="21"/>
      <c r="H262" s="21"/>
      <c r="I262" s="21"/>
      <c r="J262" s="22">
        <f t="shared" si="12"/>
        <v>0</v>
      </c>
      <c r="K262" s="22"/>
      <c r="L262" s="43">
        <f t="shared" si="11"/>
        <v>0</v>
      </c>
      <c r="M262" s="25"/>
      <c r="N262" s="24"/>
    </row>
    <row r="263" spans="2:14">
      <c r="B263" s="34"/>
      <c r="C263" s="20"/>
      <c r="D263" s="21"/>
      <c r="E263" s="38"/>
      <c r="F263" s="21"/>
      <c r="G263" s="21"/>
      <c r="H263" s="21"/>
      <c r="I263" s="21"/>
      <c r="J263" s="22">
        <f t="shared" si="12"/>
        <v>0</v>
      </c>
      <c r="K263" s="22"/>
      <c r="L263" s="43">
        <f t="shared" si="11"/>
        <v>0</v>
      </c>
      <c r="M263" s="25"/>
      <c r="N263" s="24"/>
    </row>
    <row r="264" spans="2:14">
      <c r="B264" s="34"/>
      <c r="C264" s="20"/>
      <c r="D264" s="21"/>
      <c r="E264" s="38"/>
      <c r="F264" s="21"/>
      <c r="G264" s="21"/>
      <c r="H264" s="21"/>
      <c r="I264" s="21"/>
      <c r="J264" s="22">
        <f t="shared" si="12"/>
        <v>0</v>
      </c>
      <c r="K264" s="22"/>
      <c r="L264" s="43">
        <f t="shared" si="11"/>
        <v>0</v>
      </c>
      <c r="M264" s="25"/>
      <c r="N264" s="24"/>
    </row>
    <row r="265" spans="2:14">
      <c r="B265" s="34"/>
      <c r="C265" s="20"/>
      <c r="D265" s="21"/>
      <c r="E265" s="38"/>
      <c r="F265" s="21"/>
      <c r="G265" s="21"/>
      <c r="H265" s="21"/>
      <c r="I265" s="21"/>
      <c r="J265" s="22">
        <f t="shared" si="12"/>
        <v>0</v>
      </c>
      <c r="K265" s="22"/>
      <c r="L265" s="43">
        <f t="shared" si="11"/>
        <v>0</v>
      </c>
      <c r="M265" s="25"/>
      <c r="N265" s="24"/>
    </row>
    <row r="266" spans="2:14">
      <c r="B266" s="34"/>
      <c r="C266" s="20"/>
      <c r="D266" s="21"/>
      <c r="E266" s="38"/>
      <c r="F266" s="21"/>
      <c r="G266" s="21"/>
      <c r="H266" s="21"/>
      <c r="I266" s="21"/>
      <c r="J266" s="22">
        <f t="shared" si="12"/>
        <v>0</v>
      </c>
      <c r="K266" s="22"/>
      <c r="L266" s="43">
        <f t="shared" si="11"/>
        <v>0</v>
      </c>
      <c r="M266" s="25"/>
      <c r="N266" s="24"/>
    </row>
    <row r="267" spans="2:14">
      <c r="B267" s="34"/>
      <c r="C267" s="20"/>
      <c r="D267" s="21"/>
      <c r="E267" s="38"/>
      <c r="F267" s="21"/>
      <c r="G267" s="21"/>
      <c r="H267" s="21"/>
      <c r="I267" s="21"/>
      <c r="J267" s="22">
        <f t="shared" si="12"/>
        <v>0</v>
      </c>
      <c r="K267" s="22"/>
      <c r="L267" s="43">
        <f t="shared" si="11"/>
        <v>0</v>
      </c>
      <c r="M267" s="25"/>
      <c r="N267" s="24"/>
    </row>
    <row r="268" spans="2:14">
      <c r="B268" s="44"/>
      <c r="C268" s="20"/>
      <c r="D268" s="21"/>
      <c r="E268" s="38"/>
      <c r="F268" s="21"/>
      <c r="G268" s="21"/>
      <c r="H268" s="21"/>
      <c r="I268" s="19"/>
      <c r="J268" s="22">
        <f t="shared" si="12"/>
        <v>0</v>
      </c>
      <c r="K268" s="22"/>
      <c r="L268" s="43">
        <f>J268-K268</f>
        <v>0</v>
      </c>
      <c r="M268" s="25"/>
      <c r="N268" s="24"/>
    </row>
    <row r="269" spans="2:14">
      <c r="B269" s="45"/>
      <c r="C269" s="46"/>
      <c r="D269" s="47"/>
      <c r="E269" s="48">
        <f>SUM(E8:E268)</f>
        <v>97506.05</v>
      </c>
      <c r="F269" s="45"/>
      <c r="G269" s="49"/>
      <c r="H269" s="50"/>
      <c r="I269" s="51" t="s">
        <v>383</v>
      </c>
      <c r="J269" s="52">
        <f>SUBTOTAL(9,J8:J268)</f>
        <v>97506.05</v>
      </c>
      <c r="K269" s="52">
        <f>SUBTOTAL(9,K8:K268)</f>
        <v>100854.79</v>
      </c>
      <c r="L269" s="53">
        <f>J269-K269</f>
        <v>-3348.74000000002</v>
      </c>
      <c r="M269" s="54"/>
      <c r="N269" s="53"/>
    </row>
    <row r="1048568" spans="2:7">
      <c r="B1048568" s="55"/>
    </row>
    <row r="1048572" spans="2:7">
      <c r="G1048572" s="23"/>
    </row>
  </sheetData>
  <autoFilter xmlns:etc="http://www.wps.cn/officeDocument/2017/etCustomData" ref="B6:N268" etc:filterBottomFollowUsedRange="0">
    <extLst/>
  </autoFilter>
  <mergeCells count="12">
    <mergeCell ref="B2:L2"/>
    <mergeCell ref="C4:D4"/>
    <mergeCell ref="G6:J6"/>
    <mergeCell ref="B6:B7"/>
    <mergeCell ref="C6:C7"/>
    <mergeCell ref="D6:D7"/>
    <mergeCell ref="E6:E7"/>
    <mergeCell ref="F6:F7"/>
    <mergeCell ref="K6:K7"/>
    <mergeCell ref="L6:L7"/>
    <mergeCell ref="M6:M7"/>
    <mergeCell ref="N6:N7"/>
  </mergeCells>
  <pageMargins left="0.7" right="0.7" top="0.75" bottom="0.75" header="0.3" footer="0.3"/>
  <pageSetup paperSize="1" orientation="portrait" horizontalDpi="360" verticalDpi="36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048571"/>
  <sheetViews>
    <sheetView topLeftCell="A186" workbookViewId="0">
      <selection activeCell="F201" sqref="F201"/>
    </sheetView>
  </sheetViews>
  <sheetFormatPr defaultColWidth="11" defaultRowHeight="15"/>
  <cols>
    <col min="1" max="1" width="3.85714285714286" customWidth="1"/>
    <col min="2" max="2" width="11" customWidth="1"/>
    <col min="3" max="3" width="6.14285714285714" customWidth="1"/>
    <col min="4" max="4" width="14.7142857142857" customWidth="1"/>
    <col min="5" max="5" width="12.5714285714286" customWidth="1"/>
    <col min="6" max="6" width="17.7142857142857" customWidth="1"/>
    <col min="8" max="8" width="12.1428571428571" customWidth="1"/>
    <col min="9" max="9" width="12.2857142857143" customWidth="1"/>
    <col min="10" max="10" width="14.2857142857143" customWidth="1"/>
    <col min="11" max="11" width="15.5714285714286" customWidth="1"/>
    <col min="12" max="12" width="11.4285714285714" customWidth="1"/>
    <col min="13" max="13" width="24.7142857142857" customWidth="1"/>
    <col min="14" max="14" width="18" customWidth="1"/>
  </cols>
  <sheetData>
    <row r="2" ht="21" spans="2:1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5.75"/>
    <row r="4" ht="15.75" spans="2:14">
      <c r="B4" s="3" t="s">
        <v>1</v>
      </c>
      <c r="C4" s="4">
        <f ca="1">TODAY()</f>
        <v>46247</v>
      </c>
      <c r="D4" s="5"/>
      <c r="M4" t="s">
        <v>772</v>
      </c>
    </row>
    <row r="6" spans="2:14">
      <c r="B6" s="6" t="s">
        <v>2</v>
      </c>
      <c r="C6" s="6" t="s">
        <v>3</v>
      </c>
      <c r="D6" s="6" t="s">
        <v>4</v>
      </c>
      <c r="E6" s="7" t="s">
        <v>5</v>
      </c>
      <c r="F6" s="7" t="s">
        <v>6</v>
      </c>
      <c r="G6" s="8" t="s">
        <v>7</v>
      </c>
      <c r="H6" s="9"/>
      <c r="I6" s="9"/>
      <c r="J6" s="10"/>
      <c r="K6" s="11" t="s">
        <v>8</v>
      </c>
      <c r="L6" s="11" t="s">
        <v>9</v>
      </c>
      <c r="M6" s="12" t="s">
        <v>10</v>
      </c>
      <c r="N6" s="12" t="s">
        <v>11</v>
      </c>
    </row>
    <row r="7" spans="2:14">
      <c r="B7" s="13"/>
      <c r="C7" s="13"/>
      <c r="D7" s="14"/>
      <c r="E7" s="13"/>
      <c r="F7" s="13"/>
      <c r="G7" s="15" t="s">
        <v>12</v>
      </c>
      <c r="H7" s="15" t="s">
        <v>13</v>
      </c>
      <c r="I7" s="15" t="s">
        <v>2</v>
      </c>
      <c r="J7" s="16" t="s">
        <v>14</v>
      </c>
      <c r="K7" s="17"/>
      <c r="L7" s="17"/>
      <c r="M7" s="17"/>
      <c r="N7" s="18"/>
    </row>
    <row r="8" spans="2:14">
      <c r="B8" s="19">
        <v>46029</v>
      </c>
      <c r="C8" s="20" t="s">
        <v>15</v>
      </c>
      <c r="D8" s="21" t="s">
        <v>2254</v>
      </c>
      <c r="E8" s="22">
        <v>228.31</v>
      </c>
      <c r="F8" s="23" t="s">
        <v>17</v>
      </c>
      <c r="G8" s="23" t="s">
        <v>21</v>
      </c>
      <c r="H8" s="21" t="s">
        <v>2255</v>
      </c>
      <c r="I8" s="19">
        <v>46029</v>
      </c>
      <c r="J8" s="22">
        <f>E8</f>
        <v>228.31</v>
      </c>
      <c r="K8" s="22">
        <v>228.31</v>
      </c>
      <c r="L8" s="24">
        <f>J8-K8</f>
        <v>0</v>
      </c>
      <c r="M8" s="25"/>
      <c r="N8" s="26" t="s">
        <v>63</v>
      </c>
    </row>
    <row r="9" spans="2:14">
      <c r="B9" s="19">
        <v>46029</v>
      </c>
      <c r="C9" s="20" t="s">
        <v>15</v>
      </c>
      <c r="D9" s="21" t="s">
        <v>2256</v>
      </c>
      <c r="E9" s="27">
        <v>1075.02</v>
      </c>
      <c r="F9" s="23" t="s">
        <v>17</v>
      </c>
      <c r="G9" s="23" t="s">
        <v>21</v>
      </c>
      <c r="H9" s="21" t="s">
        <v>2257</v>
      </c>
      <c r="I9" s="19">
        <v>46029</v>
      </c>
      <c r="J9" s="22">
        <f t="shared" ref="J9:J42" si="0">E9</f>
        <v>1075.02</v>
      </c>
      <c r="K9" s="27">
        <v>1075.02</v>
      </c>
      <c r="L9" s="24">
        <f t="shared" ref="L9:L50" si="1">J9-K9</f>
        <v>0</v>
      </c>
      <c r="M9" s="25"/>
      <c r="N9" s="26" t="s">
        <v>33</v>
      </c>
    </row>
    <row r="10" spans="2:14">
      <c r="B10" s="19">
        <v>46029</v>
      </c>
      <c r="C10" s="20" t="s">
        <v>15</v>
      </c>
      <c r="D10" s="21" t="s">
        <v>2258</v>
      </c>
      <c r="E10" s="27">
        <v>761.22</v>
      </c>
      <c r="F10" s="23" t="s">
        <v>17</v>
      </c>
      <c r="G10" s="23" t="s">
        <v>21</v>
      </c>
      <c r="H10" s="21" t="s">
        <v>2259</v>
      </c>
      <c r="I10" s="19">
        <v>46029</v>
      </c>
      <c r="J10" s="22">
        <f t="shared" si="0"/>
        <v>761.22</v>
      </c>
      <c r="K10" s="27">
        <v>761.22</v>
      </c>
      <c r="L10" s="24">
        <f t="shared" si="1"/>
        <v>0</v>
      </c>
      <c r="M10" s="25"/>
      <c r="N10" s="26"/>
    </row>
    <row r="11" spans="2:14">
      <c r="B11" s="19">
        <v>46029</v>
      </c>
      <c r="C11" s="20" t="s">
        <v>15</v>
      </c>
      <c r="D11" s="21" t="s">
        <v>2260</v>
      </c>
      <c r="E11" s="27">
        <v>539.81</v>
      </c>
      <c r="F11" s="23" t="s">
        <v>17</v>
      </c>
      <c r="G11" s="23" t="s">
        <v>21</v>
      </c>
      <c r="H11" s="28" t="s">
        <v>2261</v>
      </c>
      <c r="I11" s="19">
        <v>46029</v>
      </c>
      <c r="J11" s="22">
        <f t="shared" si="0"/>
        <v>539.81</v>
      </c>
      <c r="K11" s="27">
        <v>539.81</v>
      </c>
      <c r="L11" s="24">
        <f t="shared" si="1"/>
        <v>0</v>
      </c>
      <c r="M11" s="25"/>
      <c r="N11" s="26" t="s">
        <v>60</v>
      </c>
    </row>
    <row r="12" spans="2:14">
      <c r="B12" s="19">
        <v>46029</v>
      </c>
      <c r="C12" s="20" t="s">
        <v>15</v>
      </c>
      <c r="D12" s="21" t="s">
        <v>2262</v>
      </c>
      <c r="E12" s="29">
        <v>694.74</v>
      </c>
      <c r="F12" s="23" t="s">
        <v>17</v>
      </c>
      <c r="G12" s="23" t="s">
        <v>21</v>
      </c>
      <c r="H12" s="21" t="s">
        <v>2263</v>
      </c>
      <c r="I12" s="19">
        <v>46029</v>
      </c>
      <c r="J12" s="22">
        <f t="shared" si="0"/>
        <v>694.74</v>
      </c>
      <c r="K12" s="29">
        <v>694.74</v>
      </c>
      <c r="L12" s="24">
        <f t="shared" si="1"/>
        <v>0</v>
      </c>
      <c r="M12" s="25"/>
      <c r="N12" s="26"/>
    </row>
    <row r="13" spans="2:14">
      <c r="B13" s="19">
        <v>46029</v>
      </c>
      <c r="C13" s="20" t="s">
        <v>15</v>
      </c>
      <c r="D13" s="21" t="s">
        <v>2264</v>
      </c>
      <c r="E13" s="22">
        <v>49.45</v>
      </c>
      <c r="F13" s="23" t="s">
        <v>17</v>
      </c>
      <c r="G13" s="23" t="s">
        <v>18</v>
      </c>
      <c r="H13" s="23" t="s">
        <v>2265</v>
      </c>
      <c r="I13" s="19">
        <v>46029</v>
      </c>
      <c r="J13" s="22">
        <f t="shared" si="0"/>
        <v>49.45</v>
      </c>
      <c r="K13" s="22">
        <v>49.45</v>
      </c>
      <c r="L13" s="24">
        <f t="shared" si="1"/>
        <v>0</v>
      </c>
      <c r="M13" s="25"/>
      <c r="N13" s="26" t="s">
        <v>224</v>
      </c>
    </row>
    <row r="14" spans="2:14">
      <c r="B14" s="19">
        <v>46029</v>
      </c>
      <c r="C14" s="20" t="s">
        <v>15</v>
      </c>
      <c r="D14" s="21" t="s">
        <v>2266</v>
      </c>
      <c r="E14" s="27">
        <v>3452.94</v>
      </c>
      <c r="F14" s="23" t="s">
        <v>17</v>
      </c>
      <c r="G14" s="23" t="s">
        <v>21</v>
      </c>
      <c r="H14" s="30" t="s">
        <v>2267</v>
      </c>
      <c r="I14" s="19">
        <v>46029</v>
      </c>
      <c r="J14" s="22">
        <f t="shared" si="0"/>
        <v>3452.94</v>
      </c>
      <c r="K14" s="27">
        <v>3452.94</v>
      </c>
      <c r="L14" s="24">
        <f t="shared" si="1"/>
        <v>0</v>
      </c>
      <c r="M14" s="25"/>
      <c r="N14" s="26" t="s">
        <v>23</v>
      </c>
    </row>
    <row r="15" spans="2:14">
      <c r="B15" s="19">
        <v>46029</v>
      </c>
      <c r="C15" s="20" t="s">
        <v>15</v>
      </c>
      <c r="D15" s="21" t="s">
        <v>2268</v>
      </c>
      <c r="E15" s="22">
        <v>600.81</v>
      </c>
      <c r="F15" s="23" t="s">
        <v>17</v>
      </c>
      <c r="G15" s="23" t="s">
        <v>18</v>
      </c>
      <c r="H15" s="21" t="s">
        <v>2269</v>
      </c>
      <c r="I15" s="19">
        <v>46029</v>
      </c>
      <c r="J15" s="22">
        <f t="shared" si="0"/>
        <v>600.81</v>
      </c>
      <c r="K15" s="22">
        <v>600.81</v>
      </c>
      <c r="L15" s="24">
        <f t="shared" si="1"/>
        <v>0</v>
      </c>
      <c r="M15" s="25"/>
      <c r="N15" s="26"/>
    </row>
    <row r="16" spans="2:14">
      <c r="B16" s="19">
        <v>46029</v>
      </c>
      <c r="C16" s="20" t="s">
        <v>15</v>
      </c>
      <c r="D16" s="21" t="s">
        <v>2270</v>
      </c>
      <c r="E16" s="22">
        <v>1882.16</v>
      </c>
      <c r="F16" s="23" t="s">
        <v>17</v>
      </c>
      <c r="G16" s="21" t="s">
        <v>18</v>
      </c>
      <c r="H16" s="21" t="s">
        <v>2271</v>
      </c>
      <c r="I16" s="19">
        <v>46029</v>
      </c>
      <c r="J16" s="22">
        <f t="shared" si="0"/>
        <v>1882.16</v>
      </c>
      <c r="K16" s="22">
        <v>1882.16</v>
      </c>
      <c r="L16" s="24">
        <f t="shared" si="1"/>
        <v>0</v>
      </c>
      <c r="M16" s="25"/>
      <c r="N16" s="26" t="s">
        <v>56</v>
      </c>
    </row>
    <row r="17" spans="2:14">
      <c r="B17" s="19">
        <v>46060</v>
      </c>
      <c r="C17" s="20" t="s">
        <v>15</v>
      </c>
      <c r="D17" s="21" t="s">
        <v>2272</v>
      </c>
      <c r="E17" s="22">
        <v>211.93</v>
      </c>
      <c r="F17" s="21" t="s">
        <v>17</v>
      </c>
      <c r="G17" s="23" t="s">
        <v>21</v>
      </c>
      <c r="H17" s="21" t="s">
        <v>2273</v>
      </c>
      <c r="I17" s="19">
        <v>46060</v>
      </c>
      <c r="J17" s="22">
        <f t="shared" si="0"/>
        <v>211.93</v>
      </c>
      <c r="K17" s="22">
        <v>211.93</v>
      </c>
      <c r="L17" s="24">
        <f t="shared" si="1"/>
        <v>0</v>
      </c>
      <c r="M17" s="25"/>
      <c r="N17" s="26"/>
    </row>
    <row r="18" spans="2:14">
      <c r="B18" s="19">
        <v>46060</v>
      </c>
      <c r="C18" s="20" t="s">
        <v>15</v>
      </c>
      <c r="D18" s="21" t="s">
        <v>2274</v>
      </c>
      <c r="E18" s="22">
        <v>689.91</v>
      </c>
      <c r="F18" s="23" t="s">
        <v>29</v>
      </c>
      <c r="G18" s="23"/>
      <c r="H18" s="23" t="s">
        <v>2275</v>
      </c>
      <c r="I18" s="19">
        <v>46060</v>
      </c>
      <c r="J18" s="22">
        <f t="shared" si="0"/>
        <v>689.91</v>
      </c>
      <c r="K18" s="22">
        <v>689.91</v>
      </c>
      <c r="L18" s="24">
        <f t="shared" si="1"/>
        <v>0</v>
      </c>
      <c r="M18" s="25"/>
      <c r="N18" s="26" t="s">
        <v>944</v>
      </c>
    </row>
    <row r="19" spans="2:14">
      <c r="B19" s="19">
        <v>46060</v>
      </c>
      <c r="C19" s="20" t="s">
        <v>15</v>
      </c>
      <c r="D19" s="21" t="s">
        <v>2276</v>
      </c>
      <c r="E19" s="22">
        <v>128.57</v>
      </c>
      <c r="F19" s="21" t="s">
        <v>17</v>
      </c>
      <c r="G19" s="23" t="s">
        <v>21</v>
      </c>
      <c r="H19" s="21" t="s">
        <v>2277</v>
      </c>
      <c r="I19" s="19">
        <v>46060</v>
      </c>
      <c r="J19" s="22">
        <f t="shared" si="0"/>
        <v>128.57</v>
      </c>
      <c r="K19" s="22">
        <v>128.57</v>
      </c>
      <c r="L19" s="24">
        <f t="shared" si="1"/>
        <v>0</v>
      </c>
      <c r="M19" s="25"/>
      <c r="N19" s="26"/>
    </row>
    <row r="20" spans="2:14">
      <c r="B20" s="19">
        <v>46060</v>
      </c>
      <c r="C20" s="20" t="s">
        <v>15</v>
      </c>
      <c r="D20" s="21" t="s">
        <v>2278</v>
      </c>
      <c r="E20" s="22">
        <v>151.07</v>
      </c>
      <c r="F20" s="21" t="s">
        <v>17</v>
      </c>
      <c r="G20" s="21" t="s">
        <v>37</v>
      </c>
      <c r="H20" s="21" t="s">
        <v>2279</v>
      </c>
      <c r="I20" s="19">
        <v>46060</v>
      </c>
      <c r="J20" s="22">
        <f t="shared" si="0"/>
        <v>151.07</v>
      </c>
      <c r="K20" s="22">
        <v>151.07</v>
      </c>
      <c r="L20" s="24">
        <f t="shared" si="1"/>
        <v>0</v>
      </c>
      <c r="M20" s="25"/>
      <c r="N20" s="26" t="s">
        <v>33</v>
      </c>
    </row>
    <row r="21" spans="2:14">
      <c r="B21" s="19">
        <v>46060</v>
      </c>
      <c r="C21" s="20" t="s">
        <v>15</v>
      </c>
      <c r="D21" s="21" t="s">
        <v>2280</v>
      </c>
      <c r="E21" s="22">
        <v>450.6</v>
      </c>
      <c r="F21" s="21" t="s">
        <v>17</v>
      </c>
      <c r="G21" s="21" t="s">
        <v>18</v>
      </c>
      <c r="H21" s="21" t="s">
        <v>2281</v>
      </c>
      <c r="I21" s="19">
        <v>46060</v>
      </c>
      <c r="J21" s="22">
        <f t="shared" si="0"/>
        <v>450.6</v>
      </c>
      <c r="K21" s="22">
        <v>450.6</v>
      </c>
      <c r="L21" s="24">
        <f t="shared" si="1"/>
        <v>0</v>
      </c>
      <c r="M21" s="25"/>
      <c r="N21" s="26" t="s">
        <v>33</v>
      </c>
    </row>
    <row r="22" spans="2:14">
      <c r="B22" s="19">
        <v>46060</v>
      </c>
      <c r="C22" s="20" t="s">
        <v>15</v>
      </c>
      <c r="D22" s="21" t="s">
        <v>2282</v>
      </c>
      <c r="E22" s="22">
        <v>2115.77</v>
      </c>
      <c r="F22" s="21" t="s">
        <v>17</v>
      </c>
      <c r="G22" s="21" t="s">
        <v>21</v>
      </c>
      <c r="H22" s="21" t="s">
        <v>2283</v>
      </c>
      <c r="I22" s="19">
        <v>46060</v>
      </c>
      <c r="J22" s="22">
        <f t="shared" si="0"/>
        <v>2115.77</v>
      </c>
      <c r="K22" s="22">
        <v>2115.77</v>
      </c>
      <c r="L22" s="24">
        <f t="shared" si="1"/>
        <v>0</v>
      </c>
      <c r="M22" s="25"/>
      <c r="N22" s="26" t="s">
        <v>56</v>
      </c>
    </row>
    <row r="23" spans="2:14">
      <c r="B23" s="19">
        <v>46060</v>
      </c>
      <c r="C23" s="20" t="s">
        <v>15</v>
      </c>
      <c r="D23" s="21" t="s">
        <v>2284</v>
      </c>
      <c r="E23" s="22">
        <v>3391.98</v>
      </c>
      <c r="F23" s="21" t="s">
        <v>17</v>
      </c>
      <c r="G23" s="21" t="s">
        <v>21</v>
      </c>
      <c r="H23" s="21" t="s">
        <v>2285</v>
      </c>
      <c r="I23" s="19">
        <v>46060</v>
      </c>
      <c r="J23" s="22">
        <f t="shared" si="0"/>
        <v>3391.98</v>
      </c>
      <c r="K23" s="22">
        <v>3391.98</v>
      </c>
      <c r="L23" s="24">
        <f t="shared" si="1"/>
        <v>0</v>
      </c>
      <c r="M23" s="25"/>
      <c r="N23" s="26" t="s">
        <v>56</v>
      </c>
    </row>
    <row r="24" spans="2:14">
      <c r="B24" s="19">
        <v>46088</v>
      </c>
      <c r="C24" s="20" t="s">
        <v>15</v>
      </c>
      <c r="D24" s="21" t="s">
        <v>2286</v>
      </c>
      <c r="E24" s="22">
        <v>342.46</v>
      </c>
      <c r="F24" s="21" t="s">
        <v>17</v>
      </c>
      <c r="G24" s="21" t="s">
        <v>21</v>
      </c>
      <c r="H24" s="21" t="s">
        <v>2287</v>
      </c>
      <c r="I24" s="19">
        <v>46088</v>
      </c>
      <c r="J24" s="22">
        <f t="shared" si="0"/>
        <v>342.46</v>
      </c>
      <c r="K24" s="22">
        <v>342.46</v>
      </c>
      <c r="L24" s="24">
        <f t="shared" si="1"/>
        <v>0</v>
      </c>
      <c r="M24" s="25"/>
      <c r="N24" s="26" t="s">
        <v>63</v>
      </c>
    </row>
    <row r="25" spans="2:14">
      <c r="B25" s="19">
        <v>46088</v>
      </c>
      <c r="C25" s="20" t="s">
        <v>15</v>
      </c>
      <c r="D25" s="21" t="s">
        <v>2288</v>
      </c>
      <c r="E25" s="22">
        <v>176.87</v>
      </c>
      <c r="F25" s="21" t="s">
        <v>17</v>
      </c>
      <c r="G25" s="21" t="s">
        <v>21</v>
      </c>
      <c r="H25" s="23" t="s">
        <v>2289</v>
      </c>
      <c r="I25" s="19">
        <v>46088</v>
      </c>
      <c r="J25" s="22">
        <f t="shared" si="0"/>
        <v>176.87</v>
      </c>
      <c r="K25" s="22">
        <v>176.87</v>
      </c>
      <c r="L25" s="24">
        <f t="shared" si="1"/>
        <v>0</v>
      </c>
      <c r="M25" s="25"/>
      <c r="N25" s="26"/>
    </row>
    <row r="26" spans="2:14">
      <c r="B26" s="19">
        <v>46088</v>
      </c>
      <c r="C26" s="20" t="s">
        <v>15</v>
      </c>
      <c r="D26" s="21" t="s">
        <v>2290</v>
      </c>
      <c r="E26" s="22">
        <v>136.58</v>
      </c>
      <c r="F26" s="21" t="s">
        <v>17</v>
      </c>
      <c r="G26" s="21" t="s">
        <v>21</v>
      </c>
      <c r="H26" s="21" t="s">
        <v>2291</v>
      </c>
      <c r="I26" s="19">
        <v>46088</v>
      </c>
      <c r="J26" s="22">
        <f t="shared" si="0"/>
        <v>136.58</v>
      </c>
      <c r="K26" s="22">
        <v>136.58</v>
      </c>
      <c r="L26" s="24">
        <f t="shared" si="1"/>
        <v>0</v>
      </c>
      <c r="M26" s="25"/>
      <c r="N26" s="26" t="s">
        <v>23</v>
      </c>
    </row>
    <row r="27" spans="2:14">
      <c r="B27" s="19">
        <v>46088</v>
      </c>
      <c r="C27" s="20" t="s">
        <v>15</v>
      </c>
      <c r="D27" s="21" t="s">
        <v>2292</v>
      </c>
      <c r="E27" s="22">
        <v>1655.59</v>
      </c>
      <c r="F27" s="21" t="s">
        <v>17</v>
      </c>
      <c r="G27" s="21" t="s">
        <v>21</v>
      </c>
      <c r="H27" s="21" t="s">
        <v>2293</v>
      </c>
      <c r="I27" s="19">
        <v>46088</v>
      </c>
      <c r="J27" s="22">
        <f t="shared" si="0"/>
        <v>1655.59</v>
      </c>
      <c r="K27" s="22">
        <v>1655.59</v>
      </c>
      <c r="L27" s="24">
        <f t="shared" si="1"/>
        <v>0</v>
      </c>
      <c r="M27" s="25"/>
      <c r="N27" s="26"/>
    </row>
    <row r="28" spans="2:14">
      <c r="B28" s="19">
        <v>46088</v>
      </c>
      <c r="C28" s="20" t="s">
        <v>15</v>
      </c>
      <c r="D28" s="21" t="s">
        <v>2294</v>
      </c>
      <c r="E28" s="22">
        <v>140.06</v>
      </c>
      <c r="F28" s="21" t="s">
        <v>17</v>
      </c>
      <c r="G28" s="21" t="s">
        <v>21</v>
      </c>
      <c r="H28" s="21" t="s">
        <v>2295</v>
      </c>
      <c r="I28" s="19">
        <v>46088</v>
      </c>
      <c r="J28" s="22">
        <f t="shared" si="0"/>
        <v>140.06</v>
      </c>
      <c r="K28" s="22">
        <v>140.06</v>
      </c>
      <c r="L28" s="24">
        <f t="shared" si="1"/>
        <v>0</v>
      </c>
      <c r="M28" s="25"/>
      <c r="N28" s="26" t="s">
        <v>23</v>
      </c>
    </row>
    <row r="29" spans="2:14">
      <c r="B29" s="19">
        <v>46088</v>
      </c>
      <c r="C29" s="20" t="s">
        <v>15</v>
      </c>
      <c r="D29" s="21" t="s">
        <v>2296</v>
      </c>
      <c r="E29" s="22">
        <v>66.23</v>
      </c>
      <c r="F29" s="21" t="s">
        <v>17</v>
      </c>
      <c r="G29" s="21" t="s">
        <v>21</v>
      </c>
      <c r="H29" s="21" t="s">
        <v>2297</v>
      </c>
      <c r="I29" s="19">
        <v>46088</v>
      </c>
      <c r="J29" s="22">
        <f t="shared" si="0"/>
        <v>66.23</v>
      </c>
      <c r="K29" s="22">
        <v>66.23</v>
      </c>
      <c r="L29" s="24">
        <f t="shared" si="1"/>
        <v>0</v>
      </c>
      <c r="M29" s="25"/>
      <c r="N29" s="26" t="s">
        <v>23</v>
      </c>
    </row>
    <row r="30" spans="2:14">
      <c r="B30" s="19">
        <v>46088</v>
      </c>
      <c r="C30" s="20" t="s">
        <v>15</v>
      </c>
      <c r="D30" s="21" t="s">
        <v>2298</v>
      </c>
      <c r="E30" s="22">
        <v>443.79</v>
      </c>
      <c r="F30" s="21" t="s">
        <v>17</v>
      </c>
      <c r="G30" s="28" t="s">
        <v>18</v>
      </c>
      <c r="H30" s="21" t="s">
        <v>2299</v>
      </c>
      <c r="I30" s="19">
        <v>46088</v>
      </c>
      <c r="J30" s="22">
        <f t="shared" si="0"/>
        <v>443.79</v>
      </c>
      <c r="K30" s="22">
        <v>443.79</v>
      </c>
      <c r="L30" s="24">
        <f t="shared" si="1"/>
        <v>0</v>
      </c>
      <c r="M30" s="25"/>
      <c r="N30" s="26"/>
    </row>
    <row r="31" spans="2:14">
      <c r="B31" s="19">
        <v>46088</v>
      </c>
      <c r="C31" s="20" t="s">
        <v>15</v>
      </c>
      <c r="D31" s="21" t="s">
        <v>2300</v>
      </c>
      <c r="E31" s="22">
        <v>550.51</v>
      </c>
      <c r="F31" s="21" t="s">
        <v>17</v>
      </c>
      <c r="G31" s="28" t="s">
        <v>18</v>
      </c>
      <c r="H31" s="21" t="s">
        <v>2301</v>
      </c>
      <c r="I31" s="19">
        <v>46088</v>
      </c>
      <c r="J31" s="22">
        <f t="shared" si="0"/>
        <v>550.51</v>
      </c>
      <c r="K31" s="22">
        <v>550.51</v>
      </c>
      <c r="L31" s="24">
        <f t="shared" si="1"/>
        <v>0</v>
      </c>
      <c r="M31" s="25"/>
      <c r="N31" s="26"/>
    </row>
    <row r="32" spans="2:14">
      <c r="B32" s="19">
        <v>46088</v>
      </c>
      <c r="C32" s="20" t="s">
        <v>15</v>
      </c>
      <c r="D32" s="21" t="s">
        <v>2302</v>
      </c>
      <c r="E32" s="22">
        <v>619.92</v>
      </c>
      <c r="F32" s="21" t="s">
        <v>17</v>
      </c>
      <c r="G32" s="28" t="s">
        <v>18</v>
      </c>
      <c r="H32" s="21" t="s">
        <v>2303</v>
      </c>
      <c r="I32" s="19">
        <v>46088</v>
      </c>
      <c r="J32" s="22">
        <f t="shared" si="0"/>
        <v>619.92</v>
      </c>
      <c r="K32" s="22">
        <v>619.92</v>
      </c>
      <c r="L32" s="24">
        <f t="shared" si="1"/>
        <v>0</v>
      </c>
      <c r="M32" s="25"/>
      <c r="N32" s="26"/>
    </row>
    <row r="33" spans="2:14">
      <c r="B33" s="19">
        <v>46088</v>
      </c>
      <c r="C33" s="20" t="s">
        <v>15</v>
      </c>
      <c r="D33" s="21" t="s">
        <v>2304</v>
      </c>
      <c r="E33" s="22">
        <v>342.46</v>
      </c>
      <c r="F33" s="21" t="s">
        <v>17</v>
      </c>
      <c r="G33" s="28" t="s">
        <v>21</v>
      </c>
      <c r="H33" s="21" t="s">
        <v>2305</v>
      </c>
      <c r="I33" s="19">
        <v>46088</v>
      </c>
      <c r="J33" s="22">
        <f t="shared" si="0"/>
        <v>342.46</v>
      </c>
      <c r="K33" s="22">
        <v>342.46</v>
      </c>
      <c r="L33" s="24">
        <f t="shared" si="1"/>
        <v>0</v>
      </c>
      <c r="M33" s="25"/>
      <c r="N33" s="26" t="s">
        <v>63</v>
      </c>
    </row>
    <row r="34" spans="2:14">
      <c r="B34" s="19">
        <v>46088</v>
      </c>
      <c r="C34" s="20" t="s">
        <v>15</v>
      </c>
      <c r="D34" s="21" t="s">
        <v>2306</v>
      </c>
      <c r="E34" s="22">
        <v>270.29</v>
      </c>
      <c r="F34" s="21" t="s">
        <v>29</v>
      </c>
      <c r="G34" s="28"/>
      <c r="H34" s="21" t="s">
        <v>2307</v>
      </c>
      <c r="I34" s="19">
        <v>46088</v>
      </c>
      <c r="J34" s="22">
        <f t="shared" si="0"/>
        <v>270.29</v>
      </c>
      <c r="K34" s="22">
        <v>270.29</v>
      </c>
      <c r="L34" s="24">
        <f t="shared" si="1"/>
        <v>0</v>
      </c>
      <c r="M34" s="25"/>
      <c r="N34" s="26"/>
    </row>
    <row r="35" spans="2:14">
      <c r="B35" s="19">
        <v>46088</v>
      </c>
      <c r="C35" s="20" t="s">
        <v>15</v>
      </c>
      <c r="D35" s="21" t="s">
        <v>2308</v>
      </c>
      <c r="E35" s="22">
        <v>95.77</v>
      </c>
      <c r="F35" s="21" t="s">
        <v>17</v>
      </c>
      <c r="G35" s="21" t="s">
        <v>21</v>
      </c>
      <c r="H35" s="21" t="s">
        <v>2309</v>
      </c>
      <c r="I35" s="19">
        <v>46088</v>
      </c>
      <c r="J35" s="22">
        <f t="shared" si="0"/>
        <v>95.77</v>
      </c>
      <c r="K35" s="22">
        <v>95.77</v>
      </c>
      <c r="L35" s="24">
        <f t="shared" si="1"/>
        <v>0</v>
      </c>
      <c r="M35" s="25"/>
      <c r="N35" s="26" t="s">
        <v>366</v>
      </c>
    </row>
    <row r="36" spans="2:14">
      <c r="B36" s="19">
        <v>46088</v>
      </c>
      <c r="C36" s="20" t="s">
        <v>15</v>
      </c>
      <c r="D36" s="21" t="s">
        <v>2310</v>
      </c>
      <c r="E36" s="22">
        <v>544.4</v>
      </c>
      <c r="F36" s="21" t="s">
        <v>17</v>
      </c>
      <c r="G36" s="28" t="s">
        <v>18</v>
      </c>
      <c r="H36" s="21" t="s">
        <v>2303</v>
      </c>
      <c r="I36" s="19">
        <v>46088</v>
      </c>
      <c r="J36" s="22">
        <f t="shared" si="0"/>
        <v>544.4</v>
      </c>
      <c r="K36" s="22">
        <v>544.4</v>
      </c>
      <c r="L36" s="24">
        <f t="shared" si="1"/>
        <v>0</v>
      </c>
      <c r="M36" s="25"/>
      <c r="N36" s="26" t="s">
        <v>56</v>
      </c>
    </row>
    <row r="37" spans="2:14">
      <c r="B37" s="19">
        <v>46119</v>
      </c>
      <c r="C37" s="20" t="s">
        <v>15</v>
      </c>
      <c r="D37" s="21" t="s">
        <v>2311</v>
      </c>
      <c r="E37" s="22">
        <v>221.02</v>
      </c>
      <c r="F37" s="21" t="s">
        <v>17</v>
      </c>
      <c r="G37" s="28" t="s">
        <v>18</v>
      </c>
      <c r="H37" s="21" t="s">
        <v>2312</v>
      </c>
      <c r="I37" s="19">
        <v>46119</v>
      </c>
      <c r="J37" s="22">
        <f t="shared" si="0"/>
        <v>221.02</v>
      </c>
      <c r="K37" s="22">
        <v>221.02</v>
      </c>
      <c r="L37" s="24">
        <f t="shared" si="1"/>
        <v>0</v>
      </c>
      <c r="M37" s="25"/>
      <c r="N37" s="26" t="s">
        <v>224</v>
      </c>
    </row>
    <row r="38" spans="2:14">
      <c r="B38" s="19">
        <v>46119</v>
      </c>
      <c r="C38" s="20" t="s">
        <v>15</v>
      </c>
      <c r="D38" s="21" t="s">
        <v>2313</v>
      </c>
      <c r="E38" s="22">
        <v>2015.71</v>
      </c>
      <c r="F38" s="21" t="s">
        <v>17</v>
      </c>
      <c r="G38" s="28" t="s">
        <v>18</v>
      </c>
      <c r="H38" s="21" t="s">
        <v>2314</v>
      </c>
      <c r="I38" s="19">
        <v>46119</v>
      </c>
      <c r="J38" s="22">
        <f t="shared" si="0"/>
        <v>2015.71</v>
      </c>
      <c r="K38" s="22">
        <v>2015.71</v>
      </c>
      <c r="L38" s="24">
        <f t="shared" si="1"/>
        <v>0</v>
      </c>
      <c r="M38" s="25"/>
      <c r="N38" s="26"/>
    </row>
    <row r="39" spans="2:14">
      <c r="B39" s="19">
        <v>46119</v>
      </c>
      <c r="C39" s="20" t="s">
        <v>15</v>
      </c>
      <c r="D39" s="21" t="s">
        <v>2315</v>
      </c>
      <c r="E39" s="22">
        <v>450.6</v>
      </c>
      <c r="F39" s="21" t="s">
        <v>17</v>
      </c>
      <c r="G39" s="21" t="s">
        <v>21</v>
      </c>
      <c r="H39" s="21" t="s">
        <v>2316</v>
      </c>
      <c r="I39" s="19">
        <v>46119</v>
      </c>
      <c r="J39" s="22">
        <f t="shared" si="0"/>
        <v>450.6</v>
      </c>
      <c r="K39" s="22">
        <v>450.6</v>
      </c>
      <c r="L39" s="24">
        <f t="shared" si="1"/>
        <v>0</v>
      </c>
      <c r="M39" s="25"/>
      <c r="N39" s="26" t="s">
        <v>33</v>
      </c>
    </row>
    <row r="40" spans="2:14">
      <c r="B40" s="19">
        <v>46180</v>
      </c>
      <c r="C40" s="20" t="s">
        <v>15</v>
      </c>
      <c r="D40" s="21" t="s">
        <v>2317</v>
      </c>
      <c r="E40" s="22">
        <v>91.42</v>
      </c>
      <c r="F40" s="21" t="s">
        <v>1980</v>
      </c>
      <c r="G40" s="28"/>
      <c r="H40" s="21" t="s">
        <v>2318</v>
      </c>
      <c r="I40" s="19">
        <v>46180</v>
      </c>
      <c r="J40" s="22">
        <f t="shared" si="0"/>
        <v>91.42</v>
      </c>
      <c r="K40" s="22">
        <v>91.42</v>
      </c>
      <c r="L40" s="24">
        <f t="shared" si="1"/>
        <v>0</v>
      </c>
      <c r="M40" s="25"/>
      <c r="N40" s="26"/>
    </row>
    <row r="41" spans="2:14">
      <c r="B41" s="19">
        <v>46180</v>
      </c>
      <c r="C41" s="20" t="s">
        <v>15</v>
      </c>
      <c r="D41" s="21" t="s">
        <v>2319</v>
      </c>
      <c r="E41" s="22">
        <v>140.41</v>
      </c>
      <c r="F41" s="21" t="s">
        <v>17</v>
      </c>
      <c r="G41" s="21" t="s">
        <v>21</v>
      </c>
      <c r="H41" s="21" t="s">
        <v>2320</v>
      </c>
      <c r="I41" s="19">
        <v>46180</v>
      </c>
      <c r="J41" s="22">
        <f t="shared" si="0"/>
        <v>140.41</v>
      </c>
      <c r="K41" s="22">
        <v>140.41</v>
      </c>
      <c r="L41" s="24">
        <f t="shared" si="1"/>
        <v>0</v>
      </c>
      <c r="M41" s="25"/>
      <c r="N41" s="26"/>
    </row>
    <row r="42" spans="2:14">
      <c r="B42" s="19">
        <v>46180</v>
      </c>
      <c r="C42" s="20" t="s">
        <v>15</v>
      </c>
      <c r="D42" s="21" t="s">
        <v>2321</v>
      </c>
      <c r="E42" s="22">
        <v>527.36</v>
      </c>
      <c r="F42" s="21" t="s">
        <v>17</v>
      </c>
      <c r="G42" s="21" t="s">
        <v>21</v>
      </c>
      <c r="H42" s="21" t="s">
        <v>2322</v>
      </c>
      <c r="I42" s="19">
        <v>46180</v>
      </c>
      <c r="J42" s="22">
        <f t="shared" si="0"/>
        <v>527.36</v>
      </c>
      <c r="K42" s="22">
        <v>527.36</v>
      </c>
      <c r="L42" s="24">
        <f t="shared" si="1"/>
        <v>0</v>
      </c>
      <c r="M42" s="25"/>
      <c r="N42" s="26"/>
    </row>
    <row r="43" spans="2:14">
      <c r="B43" s="19">
        <v>46180</v>
      </c>
      <c r="C43" s="20" t="s">
        <v>64</v>
      </c>
      <c r="D43" s="21" t="s">
        <v>2323</v>
      </c>
      <c r="E43" s="22">
        <v>270.71</v>
      </c>
      <c r="F43" s="21" t="s">
        <v>17</v>
      </c>
      <c r="G43" s="21" t="s">
        <v>18</v>
      </c>
      <c r="H43" s="21" t="s">
        <v>2324</v>
      </c>
      <c r="I43" s="19">
        <v>46180</v>
      </c>
      <c r="J43" s="22">
        <f t="shared" ref="J43:J51" si="2">E43</f>
        <v>270.71</v>
      </c>
      <c r="K43" s="22">
        <v>270.71</v>
      </c>
      <c r="L43" s="24">
        <f t="shared" si="1"/>
        <v>0</v>
      </c>
      <c r="M43" s="25"/>
      <c r="N43" s="26"/>
    </row>
    <row r="44" spans="2:14">
      <c r="B44" s="19">
        <v>46180</v>
      </c>
      <c r="C44" s="20" t="s">
        <v>15</v>
      </c>
      <c r="D44" s="21" t="s">
        <v>2325</v>
      </c>
      <c r="E44" s="22">
        <v>3164.95</v>
      </c>
      <c r="F44" s="21" t="s">
        <v>17</v>
      </c>
      <c r="G44" s="28" t="s">
        <v>18</v>
      </c>
      <c r="H44" s="21" t="s">
        <v>2326</v>
      </c>
      <c r="I44" s="19">
        <v>46180</v>
      </c>
      <c r="J44" s="22">
        <f t="shared" si="2"/>
        <v>3164.95</v>
      </c>
      <c r="K44" s="22">
        <v>3164.95</v>
      </c>
      <c r="L44" s="24">
        <f t="shared" si="1"/>
        <v>0</v>
      </c>
      <c r="M44" s="25"/>
      <c r="N44" s="26" t="s">
        <v>56</v>
      </c>
    </row>
    <row r="45" spans="2:14">
      <c r="B45" s="19">
        <v>46180</v>
      </c>
      <c r="C45" s="20" t="s">
        <v>15</v>
      </c>
      <c r="D45" s="21" t="s">
        <v>2327</v>
      </c>
      <c r="E45" s="22">
        <v>648.91</v>
      </c>
      <c r="F45" s="21" t="s">
        <v>17</v>
      </c>
      <c r="G45" s="21" t="s">
        <v>21</v>
      </c>
      <c r="H45" s="21" t="s">
        <v>2328</v>
      </c>
      <c r="I45" s="19">
        <v>46180</v>
      </c>
      <c r="J45" s="22">
        <f t="shared" si="2"/>
        <v>648.91</v>
      </c>
      <c r="K45" s="22">
        <v>648.91</v>
      </c>
      <c r="L45" s="24">
        <f t="shared" si="1"/>
        <v>0</v>
      </c>
      <c r="M45" s="25"/>
      <c r="N45" s="26" t="s">
        <v>56</v>
      </c>
    </row>
    <row r="46" spans="2:14">
      <c r="B46" s="19">
        <v>46210</v>
      </c>
      <c r="C46" s="20" t="s">
        <v>15</v>
      </c>
      <c r="D46" s="21" t="s">
        <v>2329</v>
      </c>
      <c r="E46" s="22">
        <v>614.41</v>
      </c>
      <c r="F46" s="21" t="s">
        <v>17</v>
      </c>
      <c r="G46" s="21" t="s">
        <v>21</v>
      </c>
      <c r="H46" s="21" t="s">
        <v>2330</v>
      </c>
      <c r="I46" s="19">
        <v>46210</v>
      </c>
      <c r="J46" s="22">
        <f t="shared" si="2"/>
        <v>614.41</v>
      </c>
      <c r="K46" s="22">
        <v>614.41</v>
      </c>
      <c r="L46" s="24">
        <f t="shared" si="1"/>
        <v>0</v>
      </c>
      <c r="M46" s="25"/>
      <c r="N46" s="26"/>
    </row>
    <row r="47" spans="2:14">
      <c r="B47" s="19">
        <v>46210</v>
      </c>
      <c r="C47" s="20" t="s">
        <v>15</v>
      </c>
      <c r="D47" s="21" t="s">
        <v>2331</v>
      </c>
      <c r="E47" s="22">
        <v>190.54</v>
      </c>
      <c r="F47" s="21" t="s">
        <v>17</v>
      </c>
      <c r="G47" s="21" t="s">
        <v>21</v>
      </c>
      <c r="H47" s="21" t="s">
        <v>2332</v>
      </c>
      <c r="I47" s="19">
        <v>46210</v>
      </c>
      <c r="J47" s="22">
        <f t="shared" si="2"/>
        <v>190.54</v>
      </c>
      <c r="K47" s="22">
        <v>190.54</v>
      </c>
      <c r="L47" s="24">
        <f t="shared" si="1"/>
        <v>0</v>
      </c>
      <c r="M47" s="25"/>
      <c r="N47" s="26"/>
    </row>
    <row r="48" spans="2:14">
      <c r="B48" s="19">
        <v>46210</v>
      </c>
      <c r="C48" s="20" t="s">
        <v>15</v>
      </c>
      <c r="D48" s="21" t="s">
        <v>2333</v>
      </c>
      <c r="E48" s="22">
        <v>96.7</v>
      </c>
      <c r="F48" s="21" t="s">
        <v>17</v>
      </c>
      <c r="G48" s="21" t="s">
        <v>21</v>
      </c>
      <c r="H48" s="21" t="s">
        <v>2334</v>
      </c>
      <c r="I48" s="19">
        <v>46210</v>
      </c>
      <c r="J48" s="22">
        <f t="shared" si="2"/>
        <v>96.7</v>
      </c>
      <c r="K48" s="22">
        <v>96.7</v>
      </c>
      <c r="L48" s="24">
        <f t="shared" si="1"/>
        <v>0</v>
      </c>
      <c r="M48" s="25"/>
      <c r="N48" s="26" t="s">
        <v>39</v>
      </c>
    </row>
    <row r="49" spans="2:14">
      <c r="B49" s="19">
        <v>46210</v>
      </c>
      <c r="C49" s="20" t="s">
        <v>15</v>
      </c>
      <c r="D49" s="21" t="s">
        <v>2335</v>
      </c>
      <c r="E49" s="22">
        <v>84.63</v>
      </c>
      <c r="F49" s="21" t="s">
        <v>17</v>
      </c>
      <c r="G49" s="21" t="s">
        <v>21</v>
      </c>
      <c r="H49" s="21" t="s">
        <v>2336</v>
      </c>
      <c r="I49" s="19">
        <v>46210</v>
      </c>
      <c r="J49" s="22">
        <f t="shared" si="2"/>
        <v>84.63</v>
      </c>
      <c r="K49" s="22">
        <v>84.63</v>
      </c>
      <c r="L49" s="24">
        <f t="shared" si="1"/>
        <v>0</v>
      </c>
      <c r="M49" s="25"/>
      <c r="N49" s="26" t="s">
        <v>39</v>
      </c>
    </row>
    <row r="50" spans="2:14">
      <c r="B50" s="19">
        <v>46210</v>
      </c>
      <c r="C50" s="20" t="s">
        <v>15</v>
      </c>
      <c r="D50" s="21" t="s">
        <v>2337</v>
      </c>
      <c r="E50" s="22">
        <v>2221.8</v>
      </c>
      <c r="F50" s="21" t="s">
        <v>17</v>
      </c>
      <c r="G50" s="21" t="s">
        <v>21</v>
      </c>
      <c r="H50" s="21" t="s">
        <v>2338</v>
      </c>
      <c r="I50" s="19">
        <v>46210</v>
      </c>
      <c r="J50" s="22">
        <f t="shared" si="2"/>
        <v>2221.8</v>
      </c>
      <c r="K50" s="22">
        <v>2221.8</v>
      </c>
      <c r="L50" s="24">
        <f t="shared" si="1"/>
        <v>0</v>
      </c>
      <c r="M50" s="25"/>
      <c r="N50" s="26"/>
    </row>
    <row r="51" spans="2:14">
      <c r="B51" s="19"/>
      <c r="C51" s="20"/>
      <c r="D51" s="21"/>
      <c r="E51" s="22"/>
      <c r="F51" s="21" t="s">
        <v>71</v>
      </c>
      <c r="G51" s="28"/>
      <c r="H51" s="21"/>
      <c r="I51" s="19"/>
      <c r="J51" s="22"/>
      <c r="K51" s="22"/>
      <c r="L51" s="24"/>
      <c r="M51" s="25"/>
      <c r="N51" s="26"/>
    </row>
    <row r="52" spans="2:14">
      <c r="B52" s="19">
        <v>46210</v>
      </c>
      <c r="C52" s="20" t="s">
        <v>15</v>
      </c>
      <c r="D52" s="21" t="s">
        <v>2339</v>
      </c>
      <c r="E52" s="22">
        <v>239.68</v>
      </c>
      <c r="F52" s="21" t="s">
        <v>29</v>
      </c>
      <c r="G52" s="28"/>
      <c r="H52" s="21" t="s">
        <v>2340</v>
      </c>
      <c r="I52" s="19">
        <v>46210</v>
      </c>
      <c r="J52" s="22">
        <f t="shared" ref="J52:J60" si="3">E52</f>
        <v>239.68</v>
      </c>
      <c r="K52" s="22">
        <v>239.68</v>
      </c>
      <c r="L52" s="24">
        <f t="shared" ref="L52:L61" si="4">J52-K52</f>
        <v>0</v>
      </c>
      <c r="M52" s="25"/>
      <c r="N52" s="26"/>
    </row>
    <row r="53" spans="2:14">
      <c r="B53" s="19">
        <v>46210</v>
      </c>
      <c r="C53" s="20" t="s">
        <v>15</v>
      </c>
      <c r="D53" s="21" t="s">
        <v>2341</v>
      </c>
      <c r="E53" s="22">
        <v>497.49</v>
      </c>
      <c r="F53" s="21" t="s">
        <v>17</v>
      </c>
      <c r="G53" s="28"/>
      <c r="H53" s="21" t="s">
        <v>2342</v>
      </c>
      <c r="I53" s="19">
        <v>46210</v>
      </c>
      <c r="J53" s="22">
        <f t="shared" si="3"/>
        <v>497.49</v>
      </c>
      <c r="K53" s="22">
        <v>497.49</v>
      </c>
      <c r="L53" s="24">
        <f t="shared" si="4"/>
        <v>0</v>
      </c>
      <c r="M53" s="25"/>
      <c r="N53" s="26" t="s">
        <v>23</v>
      </c>
    </row>
    <row r="54" spans="2:14">
      <c r="B54" s="19">
        <v>46210</v>
      </c>
      <c r="C54" s="20" t="s">
        <v>15</v>
      </c>
      <c r="D54" s="21" t="s">
        <v>2343</v>
      </c>
      <c r="E54" s="22">
        <v>166.75</v>
      </c>
      <c r="F54" s="21" t="s">
        <v>17</v>
      </c>
      <c r="G54" s="21" t="s">
        <v>21</v>
      </c>
      <c r="H54" s="21" t="s">
        <v>2344</v>
      </c>
      <c r="I54" s="19">
        <v>46210</v>
      </c>
      <c r="J54" s="22">
        <f t="shared" si="3"/>
        <v>166.75</v>
      </c>
      <c r="K54" s="22">
        <v>136.09</v>
      </c>
      <c r="L54" s="24">
        <f t="shared" si="4"/>
        <v>30.66</v>
      </c>
      <c r="M54" s="25"/>
      <c r="N54" s="26"/>
    </row>
    <row r="55" spans="2:14">
      <c r="B55" s="19"/>
      <c r="C55" s="20"/>
      <c r="D55" s="21"/>
      <c r="E55" s="22"/>
      <c r="F55" s="21" t="s">
        <v>595</v>
      </c>
      <c r="G55" s="21"/>
      <c r="H55" s="21"/>
      <c r="I55" s="19"/>
      <c r="J55" s="22">
        <f t="shared" si="3"/>
        <v>0</v>
      </c>
      <c r="K55" s="22">
        <v>30.66</v>
      </c>
      <c r="L55" s="24">
        <f t="shared" si="4"/>
        <v>-30.66</v>
      </c>
      <c r="M55" s="25"/>
      <c r="N55" s="26"/>
    </row>
    <row r="56" spans="2:14">
      <c r="B56" s="19">
        <v>46241</v>
      </c>
      <c r="C56" s="20" t="s">
        <v>15</v>
      </c>
      <c r="D56" s="21" t="s">
        <v>2345</v>
      </c>
      <c r="E56" s="22">
        <v>263.41</v>
      </c>
      <c r="F56" s="21" t="s">
        <v>29</v>
      </c>
      <c r="G56" s="28"/>
      <c r="H56" s="21" t="s">
        <v>2346</v>
      </c>
      <c r="I56" s="19">
        <v>46241</v>
      </c>
      <c r="J56" s="22">
        <f t="shared" si="3"/>
        <v>263.41</v>
      </c>
      <c r="K56" s="22">
        <v>263.41</v>
      </c>
      <c r="L56" s="24">
        <f t="shared" si="4"/>
        <v>0</v>
      </c>
      <c r="M56" s="25"/>
      <c r="N56" s="26"/>
    </row>
    <row r="57" spans="2:14">
      <c r="B57" s="19">
        <v>46241</v>
      </c>
      <c r="C57" s="20" t="s">
        <v>15</v>
      </c>
      <c r="D57" s="21" t="s">
        <v>2347</v>
      </c>
      <c r="E57" s="22">
        <v>48.4</v>
      </c>
      <c r="F57" s="30" t="s">
        <v>17</v>
      </c>
      <c r="G57" s="23" t="s">
        <v>18</v>
      </c>
      <c r="H57" s="21" t="s">
        <v>2348</v>
      </c>
      <c r="I57" s="19">
        <v>46241</v>
      </c>
      <c r="J57" s="22">
        <f t="shared" si="3"/>
        <v>48.4</v>
      </c>
      <c r="K57" s="22">
        <v>48.4</v>
      </c>
      <c r="L57" s="24">
        <f t="shared" si="4"/>
        <v>0</v>
      </c>
      <c r="M57" s="25"/>
      <c r="N57" s="26"/>
    </row>
    <row r="58" spans="2:14">
      <c r="B58" s="19">
        <v>46241</v>
      </c>
      <c r="C58" s="20" t="s">
        <v>15</v>
      </c>
      <c r="D58" s="21" t="s">
        <v>2349</v>
      </c>
      <c r="E58" s="22">
        <v>108.27</v>
      </c>
      <c r="F58" s="21" t="s">
        <v>17</v>
      </c>
      <c r="G58" s="28" t="s">
        <v>21</v>
      </c>
      <c r="H58" s="21" t="s">
        <v>2350</v>
      </c>
      <c r="I58" s="19">
        <v>46241</v>
      </c>
      <c r="J58" s="22">
        <f t="shared" si="3"/>
        <v>108.27</v>
      </c>
      <c r="K58" s="22">
        <v>108.27</v>
      </c>
      <c r="L58" s="24">
        <f t="shared" si="4"/>
        <v>0</v>
      </c>
      <c r="M58" s="25"/>
      <c r="N58" s="26"/>
    </row>
    <row r="59" spans="2:14">
      <c r="B59" s="19">
        <v>46241</v>
      </c>
      <c r="C59" s="20" t="s">
        <v>15</v>
      </c>
      <c r="D59" s="21" t="s">
        <v>2351</v>
      </c>
      <c r="E59" s="22">
        <v>45.71</v>
      </c>
      <c r="F59" s="30" t="s">
        <v>17</v>
      </c>
      <c r="G59" s="23" t="s">
        <v>18</v>
      </c>
      <c r="H59" s="21" t="s">
        <v>2352</v>
      </c>
      <c r="I59" s="19">
        <v>46241</v>
      </c>
      <c r="J59" s="22">
        <f t="shared" si="3"/>
        <v>45.71</v>
      </c>
      <c r="K59" s="22">
        <v>45.71</v>
      </c>
      <c r="L59" s="24">
        <f t="shared" si="4"/>
        <v>0</v>
      </c>
      <c r="M59" s="25"/>
      <c r="N59" s="26" t="s">
        <v>224</v>
      </c>
    </row>
    <row r="60" spans="2:14">
      <c r="B60" s="19">
        <v>46241</v>
      </c>
      <c r="C60" s="20" t="s">
        <v>15</v>
      </c>
      <c r="D60" s="21" t="s">
        <v>2353</v>
      </c>
      <c r="E60" s="22">
        <v>1565.28</v>
      </c>
      <c r="F60" s="30" t="s">
        <v>17</v>
      </c>
      <c r="G60" s="28" t="s">
        <v>21</v>
      </c>
      <c r="H60" s="21"/>
      <c r="I60" s="19">
        <v>46241</v>
      </c>
      <c r="J60" s="22">
        <f t="shared" si="3"/>
        <v>1565.28</v>
      </c>
      <c r="K60" s="22">
        <v>1565.28</v>
      </c>
      <c r="L60" s="24">
        <f t="shared" si="4"/>
        <v>0</v>
      </c>
      <c r="M60" s="25"/>
      <c r="N60" s="26" t="s">
        <v>224</v>
      </c>
    </row>
    <row r="61" spans="2:14">
      <c r="B61" s="19">
        <v>46241</v>
      </c>
      <c r="C61" s="20" t="s">
        <v>15</v>
      </c>
      <c r="D61" s="21" t="s">
        <v>2354</v>
      </c>
      <c r="E61" s="22">
        <v>144.42</v>
      </c>
      <c r="F61" s="30" t="s">
        <v>17</v>
      </c>
      <c r="G61" s="23" t="s">
        <v>18</v>
      </c>
      <c r="H61" s="21" t="s">
        <v>2355</v>
      </c>
      <c r="I61" s="19">
        <v>46241</v>
      </c>
      <c r="J61" s="22">
        <f t="shared" ref="J61:J85" si="5">E61</f>
        <v>144.42</v>
      </c>
      <c r="K61" s="22">
        <v>144.42</v>
      </c>
      <c r="L61" s="24">
        <f t="shared" si="4"/>
        <v>0</v>
      </c>
      <c r="M61" s="25"/>
      <c r="N61" s="26" t="s">
        <v>366</v>
      </c>
    </row>
    <row r="62" spans="2:14">
      <c r="B62" s="19">
        <v>46241</v>
      </c>
      <c r="C62" s="20" t="s">
        <v>15</v>
      </c>
      <c r="D62" s="21" t="s">
        <v>2356</v>
      </c>
      <c r="E62" s="22">
        <v>1882.16</v>
      </c>
      <c r="F62" s="21" t="s">
        <v>17</v>
      </c>
      <c r="G62" s="28" t="s">
        <v>21</v>
      </c>
      <c r="H62" s="21" t="s">
        <v>2357</v>
      </c>
      <c r="I62" s="19">
        <v>46241</v>
      </c>
      <c r="J62" s="22">
        <f t="shared" si="5"/>
        <v>1882.16</v>
      </c>
      <c r="K62" s="22">
        <v>1882.16</v>
      </c>
      <c r="L62" s="24">
        <f t="shared" ref="L61:L76" si="6">J62-K62</f>
        <v>0</v>
      </c>
      <c r="M62" s="25"/>
      <c r="N62" s="26" t="s">
        <v>56</v>
      </c>
    </row>
    <row r="63" spans="2:14">
      <c r="B63" s="19">
        <v>46272</v>
      </c>
      <c r="C63" s="20" t="s">
        <v>15</v>
      </c>
      <c r="D63" s="21" t="s">
        <v>2358</v>
      </c>
      <c r="E63" s="22">
        <v>71.73</v>
      </c>
      <c r="F63" s="21" t="s">
        <v>29</v>
      </c>
      <c r="G63" s="23"/>
      <c r="H63" s="21" t="s">
        <v>2359</v>
      </c>
      <c r="I63" s="19">
        <v>46272</v>
      </c>
      <c r="J63" s="22">
        <f t="shared" si="5"/>
        <v>71.73</v>
      </c>
      <c r="K63" s="22">
        <v>71.73</v>
      </c>
      <c r="L63" s="24">
        <f t="shared" si="6"/>
        <v>0</v>
      </c>
      <c r="M63" s="25"/>
      <c r="N63" s="26"/>
    </row>
    <row r="64" spans="2:14">
      <c r="B64" s="19">
        <v>46272</v>
      </c>
      <c r="C64" s="20" t="s">
        <v>15</v>
      </c>
      <c r="D64" s="21" t="s">
        <v>2360</v>
      </c>
      <c r="E64" s="22">
        <v>226.61</v>
      </c>
      <c r="F64" s="21" t="s">
        <v>17</v>
      </c>
      <c r="G64" s="28" t="s">
        <v>18</v>
      </c>
      <c r="H64" s="21" t="s">
        <v>2361</v>
      </c>
      <c r="I64" s="19">
        <v>46272</v>
      </c>
      <c r="J64" s="22">
        <f t="shared" si="5"/>
        <v>226.61</v>
      </c>
      <c r="K64" s="22">
        <v>226.61</v>
      </c>
      <c r="L64" s="24">
        <f t="shared" si="6"/>
        <v>0</v>
      </c>
      <c r="M64" s="25"/>
      <c r="N64" s="26" t="s">
        <v>23</v>
      </c>
    </row>
    <row r="65" spans="2:14">
      <c r="B65" s="19">
        <v>46272</v>
      </c>
      <c r="C65" s="20" t="s">
        <v>15</v>
      </c>
      <c r="D65" s="21" t="s">
        <v>2362</v>
      </c>
      <c r="E65" s="22">
        <v>771.09</v>
      </c>
      <c r="F65" s="21" t="s">
        <v>17</v>
      </c>
      <c r="G65" s="28" t="s">
        <v>18</v>
      </c>
      <c r="H65" s="21" t="s">
        <v>2363</v>
      </c>
      <c r="I65" s="19">
        <v>46272</v>
      </c>
      <c r="J65" s="22">
        <f t="shared" si="5"/>
        <v>771.09</v>
      </c>
      <c r="K65" s="22">
        <v>771.09</v>
      </c>
      <c r="L65" s="24">
        <f t="shared" si="6"/>
        <v>0</v>
      </c>
      <c r="M65" s="25"/>
      <c r="N65" s="26" t="s">
        <v>944</v>
      </c>
    </row>
    <row r="66" spans="2:14">
      <c r="B66" s="19">
        <v>46272</v>
      </c>
      <c r="C66" s="20" t="s">
        <v>15</v>
      </c>
      <c r="D66" s="21" t="s">
        <v>2364</v>
      </c>
      <c r="E66" s="22">
        <v>197.85</v>
      </c>
      <c r="F66" s="21" t="s">
        <v>29</v>
      </c>
      <c r="G66" s="28"/>
      <c r="H66" s="21" t="s">
        <v>2365</v>
      </c>
      <c r="I66" s="19">
        <v>46272</v>
      </c>
      <c r="J66" s="22">
        <f t="shared" si="5"/>
        <v>197.85</v>
      </c>
      <c r="K66" s="22">
        <v>197.85</v>
      </c>
      <c r="L66" s="24">
        <f t="shared" si="6"/>
        <v>0</v>
      </c>
      <c r="M66" s="25"/>
      <c r="N66" s="26"/>
    </row>
    <row r="67" spans="2:14">
      <c r="B67" s="19">
        <v>46302</v>
      </c>
      <c r="C67" s="20" t="s">
        <v>15</v>
      </c>
      <c r="D67" s="21" t="s">
        <v>2366</v>
      </c>
      <c r="E67" s="22">
        <v>312.12</v>
      </c>
      <c r="F67" s="21" t="s">
        <v>17</v>
      </c>
      <c r="G67" s="23" t="s">
        <v>21</v>
      </c>
      <c r="H67" s="21" t="s">
        <v>2367</v>
      </c>
      <c r="I67" s="19">
        <v>46302</v>
      </c>
      <c r="J67" s="22">
        <f t="shared" si="5"/>
        <v>312.12</v>
      </c>
      <c r="K67" s="22">
        <v>312.12</v>
      </c>
      <c r="L67" s="24">
        <f t="shared" si="6"/>
        <v>0</v>
      </c>
      <c r="M67" s="25"/>
      <c r="N67" s="26" t="s">
        <v>23</v>
      </c>
    </row>
    <row r="68" spans="2:14">
      <c r="B68" s="19">
        <v>46302</v>
      </c>
      <c r="C68" s="20" t="s">
        <v>15</v>
      </c>
      <c r="D68" s="21" t="s">
        <v>2368</v>
      </c>
      <c r="E68" s="22">
        <v>198.69</v>
      </c>
      <c r="F68" s="21" t="s">
        <v>17</v>
      </c>
      <c r="G68" s="23" t="s">
        <v>18</v>
      </c>
      <c r="H68" s="21" t="s">
        <v>2369</v>
      </c>
      <c r="I68" s="19">
        <v>46302</v>
      </c>
      <c r="J68" s="22">
        <f t="shared" si="5"/>
        <v>198.69</v>
      </c>
      <c r="K68" s="22">
        <v>198.69</v>
      </c>
      <c r="L68" s="24">
        <f t="shared" si="6"/>
        <v>0</v>
      </c>
      <c r="M68" s="25"/>
      <c r="N68" s="26" t="s">
        <v>224</v>
      </c>
    </row>
    <row r="69" spans="2:14">
      <c r="B69" s="19">
        <v>46302</v>
      </c>
      <c r="C69" s="20" t="s">
        <v>15</v>
      </c>
      <c r="D69" s="21" t="s">
        <v>2370</v>
      </c>
      <c r="E69" s="22">
        <v>95.83</v>
      </c>
      <c r="F69" s="21" t="s">
        <v>17</v>
      </c>
      <c r="G69" s="23" t="s">
        <v>21</v>
      </c>
      <c r="H69" s="21" t="s">
        <v>2371</v>
      </c>
      <c r="I69" s="19">
        <v>46302</v>
      </c>
      <c r="J69" s="22">
        <f t="shared" si="5"/>
        <v>95.83</v>
      </c>
      <c r="K69" s="22">
        <v>95.83</v>
      </c>
      <c r="L69" s="24">
        <f t="shared" si="6"/>
        <v>0</v>
      </c>
      <c r="M69" s="25"/>
      <c r="N69" s="26"/>
    </row>
    <row r="70" spans="2:14">
      <c r="B70" s="19">
        <v>46302</v>
      </c>
      <c r="C70" s="20" t="s">
        <v>64</v>
      </c>
      <c r="D70" s="21" t="s">
        <v>2372</v>
      </c>
      <c r="E70" s="22">
        <v>71.71</v>
      </c>
      <c r="F70" s="21" t="s">
        <v>29</v>
      </c>
      <c r="G70" s="23"/>
      <c r="H70" s="21" t="s">
        <v>2373</v>
      </c>
      <c r="I70" s="19">
        <v>46302</v>
      </c>
      <c r="J70" s="22">
        <f t="shared" si="5"/>
        <v>71.71</v>
      </c>
      <c r="K70" s="22">
        <v>71.71</v>
      </c>
      <c r="L70" s="24">
        <f t="shared" si="6"/>
        <v>0</v>
      </c>
      <c r="M70" s="25"/>
      <c r="N70" s="26"/>
    </row>
    <row r="71" spans="2:14">
      <c r="B71" s="19">
        <v>46302</v>
      </c>
      <c r="C71" s="20" t="s">
        <v>64</v>
      </c>
      <c r="D71" s="21" t="s">
        <v>2374</v>
      </c>
      <c r="E71" s="22">
        <v>107.56</v>
      </c>
      <c r="F71" s="21" t="s">
        <v>29</v>
      </c>
      <c r="G71" s="21"/>
      <c r="H71" s="21" t="s">
        <v>2375</v>
      </c>
      <c r="I71" s="19">
        <v>46302</v>
      </c>
      <c r="J71" s="22">
        <f t="shared" si="5"/>
        <v>107.56</v>
      </c>
      <c r="K71" s="22">
        <v>107.56</v>
      </c>
      <c r="L71" s="24">
        <f t="shared" si="6"/>
        <v>0</v>
      </c>
      <c r="M71" s="25"/>
      <c r="N71" s="24"/>
    </row>
    <row r="72" spans="2:14">
      <c r="B72" s="19">
        <v>46333</v>
      </c>
      <c r="C72" s="20" t="s">
        <v>15</v>
      </c>
      <c r="D72" s="21" t="s">
        <v>2376</v>
      </c>
      <c r="E72" s="22">
        <v>280.11</v>
      </c>
      <c r="F72" s="21" t="s">
        <v>17</v>
      </c>
      <c r="G72" s="23" t="s">
        <v>18</v>
      </c>
      <c r="H72" s="21" t="s">
        <v>2377</v>
      </c>
      <c r="I72" s="19">
        <v>46333</v>
      </c>
      <c r="J72" s="22">
        <f t="shared" si="5"/>
        <v>280.11</v>
      </c>
      <c r="K72" s="22">
        <v>280.11</v>
      </c>
      <c r="L72" s="24">
        <f t="shared" si="6"/>
        <v>0</v>
      </c>
      <c r="M72" s="25"/>
      <c r="N72" s="26" t="s">
        <v>23</v>
      </c>
    </row>
    <row r="73" spans="2:14">
      <c r="B73" s="19">
        <v>46333</v>
      </c>
      <c r="C73" s="20" t="s">
        <v>15</v>
      </c>
      <c r="D73" s="21" t="s">
        <v>2378</v>
      </c>
      <c r="E73" s="22">
        <v>456.6</v>
      </c>
      <c r="F73" s="21" t="s">
        <v>17</v>
      </c>
      <c r="G73" s="23" t="s">
        <v>21</v>
      </c>
      <c r="H73" s="21" t="s">
        <v>2379</v>
      </c>
      <c r="I73" s="19">
        <v>46333</v>
      </c>
      <c r="J73" s="22">
        <f t="shared" si="5"/>
        <v>456.6</v>
      </c>
      <c r="K73" s="22">
        <v>456.6</v>
      </c>
      <c r="L73" s="24">
        <f t="shared" si="6"/>
        <v>0</v>
      </c>
      <c r="M73" s="25"/>
      <c r="N73" s="26"/>
    </row>
    <row r="74" spans="2:14">
      <c r="B74" s="19">
        <v>46333</v>
      </c>
      <c r="C74" s="20" t="s">
        <v>15</v>
      </c>
      <c r="D74" s="21" t="s">
        <v>2380</v>
      </c>
      <c r="E74" s="22">
        <v>81.76</v>
      </c>
      <c r="F74" s="21" t="s">
        <v>17</v>
      </c>
      <c r="G74" s="23" t="s">
        <v>21</v>
      </c>
      <c r="H74" s="21" t="s">
        <v>2381</v>
      </c>
      <c r="I74" s="19">
        <v>46333</v>
      </c>
      <c r="J74" s="22">
        <f t="shared" si="5"/>
        <v>81.76</v>
      </c>
      <c r="K74" s="22">
        <v>81.76</v>
      </c>
      <c r="L74" s="24">
        <f t="shared" si="6"/>
        <v>0</v>
      </c>
      <c r="M74" s="25"/>
      <c r="N74" s="26"/>
    </row>
    <row r="75" spans="2:14">
      <c r="B75" s="19">
        <v>46333</v>
      </c>
      <c r="C75" s="20" t="s">
        <v>15</v>
      </c>
      <c r="D75" s="21" t="s">
        <v>2382</v>
      </c>
      <c r="E75" s="22">
        <v>1695.99</v>
      </c>
      <c r="F75" s="21" t="s">
        <v>17</v>
      </c>
      <c r="G75" s="23" t="s">
        <v>21</v>
      </c>
      <c r="H75" s="21" t="s">
        <v>2383</v>
      </c>
      <c r="I75" s="19">
        <v>46333</v>
      </c>
      <c r="J75" s="22">
        <f t="shared" si="5"/>
        <v>1695.99</v>
      </c>
      <c r="K75" s="22">
        <v>1695.99</v>
      </c>
      <c r="L75" s="24">
        <f t="shared" si="6"/>
        <v>0</v>
      </c>
      <c r="M75" s="25"/>
      <c r="N75" s="26"/>
    </row>
    <row r="76" spans="2:14">
      <c r="B76" s="19">
        <v>46333</v>
      </c>
      <c r="C76" s="20" t="s">
        <v>15</v>
      </c>
      <c r="D76" s="21" t="s">
        <v>2384</v>
      </c>
      <c r="E76" s="22">
        <v>212</v>
      </c>
      <c r="F76" s="21" t="s">
        <v>17</v>
      </c>
      <c r="G76" s="23" t="s">
        <v>37</v>
      </c>
      <c r="H76" s="21" t="s">
        <v>2385</v>
      </c>
      <c r="I76" s="19">
        <v>46333</v>
      </c>
      <c r="J76" s="22">
        <f t="shared" si="5"/>
        <v>212</v>
      </c>
      <c r="K76" s="22">
        <v>212</v>
      </c>
      <c r="L76" s="24">
        <f t="shared" si="6"/>
        <v>0</v>
      </c>
      <c r="M76" s="25"/>
      <c r="N76" s="26" t="s">
        <v>63</v>
      </c>
    </row>
    <row r="77" spans="2:14">
      <c r="B77" s="19" t="s">
        <v>2386</v>
      </c>
      <c r="C77" s="20" t="s">
        <v>15</v>
      </c>
      <c r="D77" s="21" t="s">
        <v>2387</v>
      </c>
      <c r="E77" s="22">
        <v>368.59</v>
      </c>
      <c r="F77" s="21" t="s">
        <v>29</v>
      </c>
      <c r="G77" s="23"/>
      <c r="H77" s="21" t="s">
        <v>2388</v>
      </c>
      <c r="I77" s="19" t="s">
        <v>2386</v>
      </c>
      <c r="J77" s="22">
        <f t="shared" si="5"/>
        <v>368.59</v>
      </c>
      <c r="K77" s="22">
        <v>368.59</v>
      </c>
      <c r="L77" s="24">
        <f t="shared" ref="L77:L111" si="7">J77-K77</f>
        <v>0</v>
      </c>
      <c r="M77" s="25"/>
      <c r="N77" s="26"/>
    </row>
    <row r="78" spans="2:14">
      <c r="B78" s="19" t="s">
        <v>2386</v>
      </c>
      <c r="C78" s="20" t="s">
        <v>15</v>
      </c>
      <c r="D78" s="21" t="s">
        <v>2389</v>
      </c>
      <c r="E78" s="22">
        <v>95.61</v>
      </c>
      <c r="F78" s="21" t="s">
        <v>17</v>
      </c>
      <c r="G78" s="23" t="s">
        <v>21</v>
      </c>
      <c r="H78" s="21" t="s">
        <v>2390</v>
      </c>
      <c r="I78" s="19" t="s">
        <v>2386</v>
      </c>
      <c r="J78" s="22">
        <f t="shared" si="5"/>
        <v>95.61</v>
      </c>
      <c r="K78" s="22">
        <v>95.61</v>
      </c>
      <c r="L78" s="24">
        <f t="shared" si="7"/>
        <v>0</v>
      </c>
      <c r="M78" s="25"/>
      <c r="N78" s="26"/>
    </row>
    <row r="79" spans="2:14">
      <c r="B79" s="19" t="s">
        <v>2386</v>
      </c>
      <c r="C79" s="20" t="s">
        <v>15</v>
      </c>
      <c r="D79" s="21" t="s">
        <v>2391</v>
      </c>
      <c r="E79" s="22">
        <v>551.05</v>
      </c>
      <c r="F79" s="21" t="s">
        <v>17</v>
      </c>
      <c r="G79" s="23" t="s">
        <v>18</v>
      </c>
      <c r="H79" s="21" t="s">
        <v>2392</v>
      </c>
      <c r="I79" s="19" t="s">
        <v>2386</v>
      </c>
      <c r="J79" s="22">
        <f t="shared" si="5"/>
        <v>551.05</v>
      </c>
      <c r="K79" s="22">
        <v>551.05</v>
      </c>
      <c r="L79" s="24">
        <f t="shared" si="7"/>
        <v>0</v>
      </c>
      <c r="M79" s="25"/>
      <c r="N79" s="26"/>
    </row>
    <row r="80" spans="2:14">
      <c r="B80" s="19" t="s">
        <v>2386</v>
      </c>
      <c r="C80" s="20" t="s">
        <v>15</v>
      </c>
      <c r="D80" s="21" t="s">
        <v>2393</v>
      </c>
      <c r="E80" s="22">
        <v>129</v>
      </c>
      <c r="F80" s="21" t="s">
        <v>17</v>
      </c>
      <c r="G80" s="23" t="s">
        <v>21</v>
      </c>
      <c r="H80" s="21" t="s">
        <v>2394</v>
      </c>
      <c r="I80" s="19" t="s">
        <v>2386</v>
      </c>
      <c r="J80" s="22">
        <f t="shared" si="5"/>
        <v>129</v>
      </c>
      <c r="K80" s="22">
        <v>129</v>
      </c>
      <c r="L80" s="24">
        <f t="shared" si="7"/>
        <v>0</v>
      </c>
      <c r="M80" s="25"/>
      <c r="N80" s="26"/>
    </row>
    <row r="81" spans="2:14">
      <c r="B81" s="19" t="s">
        <v>2386</v>
      </c>
      <c r="C81" s="20" t="s">
        <v>15</v>
      </c>
      <c r="D81" s="21" t="s">
        <v>2395</v>
      </c>
      <c r="E81" s="22">
        <v>321.96</v>
      </c>
      <c r="F81" s="21" t="s">
        <v>29</v>
      </c>
      <c r="G81" s="23"/>
      <c r="H81" s="21" t="s">
        <v>2396</v>
      </c>
      <c r="I81" s="19" t="s">
        <v>2386</v>
      </c>
      <c r="J81" s="22">
        <f t="shared" si="5"/>
        <v>321.96</v>
      </c>
      <c r="K81" s="22">
        <v>321.96</v>
      </c>
      <c r="L81" s="24">
        <f t="shared" si="7"/>
        <v>0</v>
      </c>
      <c r="M81" s="25"/>
      <c r="N81" s="26"/>
    </row>
    <row r="82" spans="2:14">
      <c r="B82" s="19" t="s">
        <v>2386</v>
      </c>
      <c r="C82" s="20" t="s">
        <v>15</v>
      </c>
      <c r="D82" s="21" t="s">
        <v>2397</v>
      </c>
      <c r="E82" s="22">
        <v>2221.8</v>
      </c>
      <c r="F82" s="21" t="s">
        <v>17</v>
      </c>
      <c r="G82" s="23" t="s">
        <v>21</v>
      </c>
      <c r="H82" s="21" t="s">
        <v>2398</v>
      </c>
      <c r="I82" s="19" t="s">
        <v>2386</v>
      </c>
      <c r="J82" s="22">
        <f t="shared" si="5"/>
        <v>2221.8</v>
      </c>
      <c r="K82" s="22">
        <v>2221.8</v>
      </c>
      <c r="L82" s="24">
        <f t="shared" si="7"/>
        <v>0</v>
      </c>
      <c r="M82" s="25"/>
      <c r="N82" s="26"/>
    </row>
    <row r="83" spans="2:14">
      <c r="B83" s="19" t="s">
        <v>2386</v>
      </c>
      <c r="C83" s="20" t="s">
        <v>15</v>
      </c>
      <c r="D83" s="21" t="s">
        <v>2399</v>
      </c>
      <c r="E83" s="22">
        <v>389.95</v>
      </c>
      <c r="F83" s="21" t="s">
        <v>29</v>
      </c>
      <c r="G83" s="21"/>
      <c r="H83" s="21" t="s">
        <v>2400</v>
      </c>
      <c r="I83" s="19" t="s">
        <v>2386</v>
      </c>
      <c r="J83" s="22">
        <f t="shared" si="5"/>
        <v>389.95</v>
      </c>
      <c r="K83" s="22">
        <v>389.95</v>
      </c>
      <c r="L83" s="24">
        <f t="shared" si="7"/>
        <v>0</v>
      </c>
      <c r="M83" s="25"/>
      <c r="N83" s="26"/>
    </row>
    <row r="84" spans="2:14">
      <c r="B84" s="19" t="s">
        <v>2386</v>
      </c>
      <c r="C84" s="20" t="s">
        <v>15</v>
      </c>
      <c r="D84" s="21" t="s">
        <v>2401</v>
      </c>
      <c r="E84" s="22">
        <v>310.99</v>
      </c>
      <c r="F84" s="21" t="s">
        <v>29</v>
      </c>
      <c r="G84" s="23"/>
      <c r="H84" s="21" t="s">
        <v>2402</v>
      </c>
      <c r="I84" s="19" t="s">
        <v>2386</v>
      </c>
      <c r="J84" s="22">
        <f t="shared" si="5"/>
        <v>310.99</v>
      </c>
      <c r="K84" s="22">
        <v>310.99</v>
      </c>
      <c r="L84" s="24">
        <f t="shared" si="7"/>
        <v>0</v>
      </c>
      <c r="M84" s="25"/>
      <c r="N84" s="26"/>
    </row>
    <row r="85" spans="2:14">
      <c r="B85" s="19" t="s">
        <v>2386</v>
      </c>
      <c r="C85" s="20" t="s">
        <v>15</v>
      </c>
      <c r="D85" s="21" t="s">
        <v>2403</v>
      </c>
      <c r="E85" s="22">
        <v>608.01</v>
      </c>
      <c r="F85" s="21" t="s">
        <v>2404</v>
      </c>
      <c r="G85" s="23"/>
      <c r="H85" s="21"/>
      <c r="I85" s="19">
        <v>46239</v>
      </c>
      <c r="J85" s="22">
        <f t="shared" si="5"/>
        <v>608.01</v>
      </c>
      <c r="K85" s="22">
        <v>647.47</v>
      </c>
      <c r="L85" s="24">
        <f t="shared" si="7"/>
        <v>-39.46</v>
      </c>
      <c r="M85" s="25"/>
      <c r="N85" s="26"/>
    </row>
    <row r="86" spans="2:14">
      <c r="B86" s="19" t="s">
        <v>2386</v>
      </c>
      <c r="C86" s="20" t="s">
        <v>15</v>
      </c>
      <c r="D86" s="21" t="s">
        <v>2405</v>
      </c>
      <c r="E86" s="22">
        <v>83.53</v>
      </c>
      <c r="F86" s="21" t="s">
        <v>585</v>
      </c>
      <c r="G86" s="23"/>
      <c r="H86" s="21"/>
      <c r="I86" s="19" t="s">
        <v>2386</v>
      </c>
      <c r="J86" s="22">
        <f t="shared" ref="J86:J117" si="8">E86</f>
        <v>83.53</v>
      </c>
      <c r="K86" s="22">
        <v>83.53</v>
      </c>
      <c r="L86" s="24">
        <f t="shared" si="7"/>
        <v>0</v>
      </c>
      <c r="M86" s="25"/>
      <c r="N86" s="26"/>
    </row>
    <row r="87" spans="2:14">
      <c r="B87" s="19" t="s">
        <v>2386</v>
      </c>
      <c r="C87" s="20" t="s">
        <v>15</v>
      </c>
      <c r="D87" s="21" t="s">
        <v>2406</v>
      </c>
      <c r="E87" s="22">
        <v>5376.27</v>
      </c>
      <c r="F87" s="21" t="s">
        <v>17</v>
      </c>
      <c r="G87" s="23" t="s">
        <v>21</v>
      </c>
      <c r="H87" s="21" t="s">
        <v>2407</v>
      </c>
      <c r="I87" s="19" t="s">
        <v>2386</v>
      </c>
      <c r="J87" s="22">
        <f t="shared" si="8"/>
        <v>5376.27</v>
      </c>
      <c r="K87" s="22">
        <v>5376.27</v>
      </c>
      <c r="L87" s="24">
        <f t="shared" si="7"/>
        <v>0</v>
      </c>
      <c r="M87" s="25"/>
      <c r="N87" s="26"/>
    </row>
    <row r="88" spans="2:14">
      <c r="B88" s="19" t="s">
        <v>2408</v>
      </c>
      <c r="C88" s="20" t="s">
        <v>15</v>
      </c>
      <c r="D88" s="21" t="s">
        <v>2409</v>
      </c>
      <c r="E88" s="22">
        <v>1148.57</v>
      </c>
      <c r="F88" s="21" t="s">
        <v>17</v>
      </c>
      <c r="G88" s="23" t="s">
        <v>21</v>
      </c>
      <c r="H88" s="21" t="s">
        <v>2410</v>
      </c>
      <c r="I88" s="19" t="s">
        <v>2408</v>
      </c>
      <c r="J88" s="22">
        <f t="shared" si="8"/>
        <v>1148.57</v>
      </c>
      <c r="K88" s="22">
        <v>1148.57</v>
      </c>
      <c r="L88" s="24">
        <f t="shared" si="7"/>
        <v>0</v>
      </c>
      <c r="M88" s="25"/>
      <c r="N88" s="26"/>
    </row>
    <row r="89" spans="2:14">
      <c r="B89" s="19" t="s">
        <v>2408</v>
      </c>
      <c r="C89" s="20" t="s">
        <v>15</v>
      </c>
      <c r="D89" s="21" t="s">
        <v>2411</v>
      </c>
      <c r="E89" s="22">
        <v>326.51</v>
      </c>
      <c r="F89" s="21" t="s">
        <v>17</v>
      </c>
      <c r="G89" s="23" t="s">
        <v>18</v>
      </c>
      <c r="H89" s="21" t="s">
        <v>2412</v>
      </c>
      <c r="I89" s="19" t="s">
        <v>2408</v>
      </c>
      <c r="J89" s="22">
        <f t="shared" si="8"/>
        <v>326.51</v>
      </c>
      <c r="K89" s="22">
        <v>326.51</v>
      </c>
      <c r="L89" s="24">
        <f t="shared" si="7"/>
        <v>0</v>
      </c>
      <c r="M89" s="25"/>
      <c r="N89" s="26" t="s">
        <v>224</v>
      </c>
    </row>
    <row r="90" spans="2:14">
      <c r="B90" s="19" t="s">
        <v>2408</v>
      </c>
      <c r="C90" s="20" t="s">
        <v>15</v>
      </c>
      <c r="D90" s="21" t="s">
        <v>2413</v>
      </c>
      <c r="E90" s="22">
        <v>294.21</v>
      </c>
      <c r="F90" s="21" t="s">
        <v>17</v>
      </c>
      <c r="G90" s="23" t="s">
        <v>21</v>
      </c>
      <c r="H90" s="21" t="s">
        <v>2414</v>
      </c>
      <c r="I90" s="19" t="s">
        <v>2408</v>
      </c>
      <c r="J90" s="22">
        <f t="shared" si="8"/>
        <v>294.21</v>
      </c>
      <c r="K90" s="22">
        <v>294.21</v>
      </c>
      <c r="L90" s="24">
        <f t="shared" si="7"/>
        <v>0</v>
      </c>
      <c r="M90" s="25"/>
      <c r="N90" s="26"/>
    </row>
    <row r="91" spans="2:14">
      <c r="B91" s="19" t="s">
        <v>2408</v>
      </c>
      <c r="C91" s="20" t="s">
        <v>15</v>
      </c>
      <c r="D91" s="21" t="s">
        <v>2415</v>
      </c>
      <c r="E91" s="22">
        <v>655.15</v>
      </c>
      <c r="F91" s="21" t="s">
        <v>17</v>
      </c>
      <c r="G91" s="23" t="s">
        <v>21</v>
      </c>
      <c r="H91" s="21" t="s">
        <v>2416</v>
      </c>
      <c r="I91" s="19" t="s">
        <v>2408</v>
      </c>
      <c r="J91" s="22">
        <f t="shared" si="8"/>
        <v>655.15</v>
      </c>
      <c r="K91" s="22">
        <v>655.15</v>
      </c>
      <c r="L91" s="24">
        <f t="shared" si="7"/>
        <v>0</v>
      </c>
      <c r="M91" s="25"/>
      <c r="N91" s="26"/>
    </row>
    <row r="92" spans="2:14">
      <c r="B92" s="19" t="s">
        <v>2408</v>
      </c>
      <c r="C92" s="20" t="s">
        <v>15</v>
      </c>
      <c r="D92" s="21" t="s">
        <v>2417</v>
      </c>
      <c r="E92" s="22">
        <v>48.4</v>
      </c>
      <c r="F92" s="21" t="s">
        <v>17</v>
      </c>
      <c r="G92" s="23" t="s">
        <v>21</v>
      </c>
      <c r="H92" s="21" t="s">
        <v>2418</v>
      </c>
      <c r="I92" s="19" t="s">
        <v>2408</v>
      </c>
      <c r="J92" s="22">
        <f t="shared" si="8"/>
        <v>48.4</v>
      </c>
      <c r="K92" s="22">
        <v>48.4</v>
      </c>
      <c r="L92" s="24">
        <f t="shared" si="7"/>
        <v>0</v>
      </c>
      <c r="M92" s="25"/>
      <c r="N92" s="26"/>
    </row>
    <row r="93" spans="2:14">
      <c r="B93" s="19" t="s">
        <v>2408</v>
      </c>
      <c r="C93" s="20" t="s">
        <v>15</v>
      </c>
      <c r="D93" s="21" t="s">
        <v>2419</v>
      </c>
      <c r="E93" s="22">
        <v>800.86</v>
      </c>
      <c r="F93" s="21" t="s">
        <v>17</v>
      </c>
      <c r="G93" s="23" t="s">
        <v>21</v>
      </c>
      <c r="H93" s="21" t="s">
        <v>2420</v>
      </c>
      <c r="I93" s="19" t="s">
        <v>2408</v>
      </c>
      <c r="J93" s="22">
        <f t="shared" si="8"/>
        <v>800.86</v>
      </c>
      <c r="K93" s="22">
        <v>800.86</v>
      </c>
      <c r="L93" s="24">
        <f t="shared" si="7"/>
        <v>0</v>
      </c>
      <c r="M93" s="24"/>
      <c r="N93" s="26" t="s">
        <v>56</v>
      </c>
    </row>
    <row r="94" spans="2:14">
      <c r="B94" s="19" t="s">
        <v>2408</v>
      </c>
      <c r="C94" s="20" t="s">
        <v>15</v>
      </c>
      <c r="D94" s="21" t="s">
        <v>2421</v>
      </c>
      <c r="E94" s="22">
        <v>532.56</v>
      </c>
      <c r="F94" s="21" t="s">
        <v>17</v>
      </c>
      <c r="G94" s="21" t="s">
        <v>37</v>
      </c>
      <c r="H94" s="21" t="s">
        <v>2422</v>
      </c>
      <c r="I94" s="19" t="s">
        <v>2408</v>
      </c>
      <c r="J94" s="22">
        <f t="shared" si="8"/>
        <v>532.56</v>
      </c>
      <c r="K94" s="22">
        <v>532.56</v>
      </c>
      <c r="L94" s="24">
        <f t="shared" si="7"/>
        <v>0</v>
      </c>
      <c r="M94" s="25"/>
      <c r="N94" s="26" t="s">
        <v>56</v>
      </c>
    </row>
    <row r="95" spans="2:14">
      <c r="B95" s="19" t="s">
        <v>2408</v>
      </c>
      <c r="C95" s="20" t="s">
        <v>15</v>
      </c>
      <c r="D95" s="21" t="s">
        <v>2423</v>
      </c>
      <c r="E95" s="22">
        <v>2033.23</v>
      </c>
      <c r="F95" s="21" t="s">
        <v>17</v>
      </c>
      <c r="G95" s="23" t="s">
        <v>18</v>
      </c>
      <c r="H95" s="21" t="s">
        <v>2424</v>
      </c>
      <c r="I95" s="19" t="s">
        <v>2408</v>
      </c>
      <c r="J95" s="22">
        <f t="shared" si="8"/>
        <v>2033.23</v>
      </c>
      <c r="K95" s="22">
        <v>2033.23</v>
      </c>
      <c r="L95" s="24">
        <f t="shared" si="7"/>
        <v>0</v>
      </c>
      <c r="M95" s="25"/>
      <c r="N95" s="26" t="s">
        <v>56</v>
      </c>
    </row>
    <row r="96" spans="2:14">
      <c r="B96" s="19" t="s">
        <v>2425</v>
      </c>
      <c r="C96" s="20" t="s">
        <v>15</v>
      </c>
      <c r="D96" s="21" t="s">
        <v>2426</v>
      </c>
      <c r="E96" s="22">
        <v>231.43</v>
      </c>
      <c r="F96" s="21" t="s">
        <v>17</v>
      </c>
      <c r="G96" s="23" t="s">
        <v>18</v>
      </c>
      <c r="H96" s="21" t="s">
        <v>2427</v>
      </c>
      <c r="I96" s="19" t="s">
        <v>2428</v>
      </c>
      <c r="J96" s="22">
        <f t="shared" si="8"/>
        <v>231.43</v>
      </c>
      <c r="K96" s="22">
        <v>231.43</v>
      </c>
      <c r="L96" s="24">
        <f t="shared" si="7"/>
        <v>0</v>
      </c>
      <c r="M96" s="25"/>
      <c r="N96" s="26"/>
    </row>
    <row r="97" spans="2:14">
      <c r="B97" s="19" t="s">
        <v>2425</v>
      </c>
      <c r="C97" s="20" t="s">
        <v>15</v>
      </c>
      <c r="D97" s="21" t="s">
        <v>2429</v>
      </c>
      <c r="E97" s="22">
        <v>378.24</v>
      </c>
      <c r="F97" s="21" t="s">
        <v>17</v>
      </c>
      <c r="G97" s="21" t="s">
        <v>18</v>
      </c>
      <c r="H97" s="21" t="s">
        <v>2430</v>
      </c>
      <c r="I97" s="19" t="s">
        <v>2425</v>
      </c>
      <c r="J97" s="22">
        <f t="shared" si="8"/>
        <v>378.24</v>
      </c>
      <c r="K97" s="22">
        <v>378.24</v>
      </c>
      <c r="L97" s="24">
        <f t="shared" si="7"/>
        <v>0</v>
      </c>
      <c r="M97" s="25"/>
      <c r="N97" s="26"/>
    </row>
    <row r="98" spans="2:14">
      <c r="B98" s="19" t="s">
        <v>2425</v>
      </c>
      <c r="C98" s="20" t="s">
        <v>15</v>
      </c>
      <c r="D98" s="21" t="s">
        <v>2431</v>
      </c>
      <c r="E98" s="22">
        <v>52.74</v>
      </c>
      <c r="F98" s="21" t="s">
        <v>17</v>
      </c>
      <c r="G98" s="21" t="s">
        <v>21</v>
      </c>
      <c r="H98" s="21" t="s">
        <v>2432</v>
      </c>
      <c r="I98" s="19" t="s">
        <v>2425</v>
      </c>
      <c r="J98" s="22">
        <f t="shared" si="8"/>
        <v>52.74</v>
      </c>
      <c r="K98" s="22">
        <v>52.74</v>
      </c>
      <c r="L98" s="24">
        <f t="shared" si="7"/>
        <v>0</v>
      </c>
      <c r="M98" s="25"/>
      <c r="N98" s="26" t="s">
        <v>39</v>
      </c>
    </row>
    <row r="99" spans="2:14">
      <c r="B99" s="19" t="s">
        <v>2425</v>
      </c>
      <c r="C99" s="20" t="s">
        <v>15</v>
      </c>
      <c r="D99" s="21" t="s">
        <v>2433</v>
      </c>
      <c r="E99" s="22">
        <v>56.91</v>
      </c>
      <c r="F99" s="21" t="s">
        <v>17</v>
      </c>
      <c r="G99" s="21" t="s">
        <v>21</v>
      </c>
      <c r="H99" s="21" t="s">
        <v>2434</v>
      </c>
      <c r="I99" s="19" t="s">
        <v>2425</v>
      </c>
      <c r="J99" s="22">
        <f t="shared" si="8"/>
        <v>56.91</v>
      </c>
      <c r="K99" s="22">
        <v>56.91</v>
      </c>
      <c r="L99" s="24">
        <f t="shared" si="7"/>
        <v>0</v>
      </c>
      <c r="M99" s="25"/>
      <c r="N99" s="26"/>
    </row>
    <row r="100" spans="2:14">
      <c r="B100" s="19" t="s">
        <v>2425</v>
      </c>
      <c r="C100" s="20" t="s">
        <v>15</v>
      </c>
      <c r="D100" s="21" t="s">
        <v>2435</v>
      </c>
      <c r="E100" s="22">
        <v>185.49</v>
      </c>
      <c r="F100" s="21" t="s">
        <v>17</v>
      </c>
      <c r="G100" s="21" t="s">
        <v>21</v>
      </c>
      <c r="H100" s="21" t="s">
        <v>2436</v>
      </c>
      <c r="I100" s="19" t="s">
        <v>2425</v>
      </c>
      <c r="J100" s="22">
        <f t="shared" si="8"/>
        <v>185.49</v>
      </c>
      <c r="K100" s="22">
        <v>185.49</v>
      </c>
      <c r="L100" s="24">
        <f t="shared" si="7"/>
        <v>0</v>
      </c>
      <c r="M100" s="25"/>
      <c r="N100" s="26" t="s">
        <v>33</v>
      </c>
    </row>
    <row r="101" spans="2:14">
      <c r="B101" s="19" t="s">
        <v>2425</v>
      </c>
      <c r="C101" s="20" t="s">
        <v>15</v>
      </c>
      <c r="D101" s="21" t="s">
        <v>2437</v>
      </c>
      <c r="E101" s="22">
        <v>1955.48</v>
      </c>
      <c r="F101" s="21" t="s">
        <v>471</v>
      </c>
      <c r="G101" s="21"/>
      <c r="H101" s="21"/>
      <c r="I101" s="19"/>
      <c r="J101" s="22"/>
      <c r="K101" s="22"/>
      <c r="L101" s="24">
        <f t="shared" si="7"/>
        <v>0</v>
      </c>
      <c r="M101" s="25"/>
      <c r="N101" s="26" t="s">
        <v>60</v>
      </c>
    </row>
    <row r="102" spans="2:14">
      <c r="B102" s="19" t="s">
        <v>2425</v>
      </c>
      <c r="C102" s="20" t="s">
        <v>15</v>
      </c>
      <c r="D102" s="21" t="s">
        <v>2438</v>
      </c>
      <c r="E102" s="22">
        <v>961.37</v>
      </c>
      <c r="F102" s="21" t="s">
        <v>17</v>
      </c>
      <c r="G102" s="21" t="s">
        <v>21</v>
      </c>
      <c r="H102" s="21" t="s">
        <v>2439</v>
      </c>
      <c r="I102" s="19" t="s">
        <v>2425</v>
      </c>
      <c r="J102" s="22">
        <f t="shared" si="8"/>
        <v>961.37</v>
      </c>
      <c r="K102" s="22">
        <v>961.37</v>
      </c>
      <c r="L102" s="24">
        <f t="shared" si="7"/>
        <v>0</v>
      </c>
      <c r="M102" s="25"/>
      <c r="N102" s="26"/>
    </row>
    <row r="103" spans="2:14">
      <c r="B103" s="19" t="s">
        <v>2425</v>
      </c>
      <c r="C103" s="20" t="s">
        <v>15</v>
      </c>
      <c r="D103" s="21" t="s">
        <v>2440</v>
      </c>
      <c r="E103" s="22">
        <v>2156.51</v>
      </c>
      <c r="F103" s="21" t="s">
        <v>1546</v>
      </c>
      <c r="G103" s="21"/>
      <c r="H103" s="21"/>
      <c r="I103" s="19" t="s">
        <v>2425</v>
      </c>
      <c r="J103" s="22">
        <f t="shared" si="8"/>
        <v>2156.51</v>
      </c>
      <c r="K103" s="22">
        <v>2171.79</v>
      </c>
      <c r="L103" s="24">
        <f t="shared" si="7"/>
        <v>-15.2799999999997</v>
      </c>
      <c r="M103" s="25"/>
      <c r="N103" s="26" t="s">
        <v>60</v>
      </c>
    </row>
    <row r="104" spans="2:14">
      <c r="B104" s="19" t="s">
        <v>2425</v>
      </c>
      <c r="C104" s="20" t="s">
        <v>15</v>
      </c>
      <c r="D104" s="21" t="s">
        <v>2441</v>
      </c>
      <c r="E104" s="22">
        <v>848.85</v>
      </c>
      <c r="F104" s="21" t="s">
        <v>585</v>
      </c>
      <c r="G104" s="21"/>
      <c r="H104" s="21"/>
      <c r="I104" s="19" t="s">
        <v>2425</v>
      </c>
      <c r="J104" s="22">
        <f t="shared" si="8"/>
        <v>848.85</v>
      </c>
      <c r="K104" s="22">
        <v>848.85</v>
      </c>
      <c r="L104" s="24">
        <f t="shared" si="7"/>
        <v>0</v>
      </c>
      <c r="M104" s="25"/>
      <c r="N104" s="26"/>
    </row>
    <row r="105" spans="2:14">
      <c r="B105" s="19"/>
      <c r="C105" s="20"/>
      <c r="D105" s="21"/>
      <c r="E105" s="22"/>
      <c r="F105" s="21" t="s">
        <v>71</v>
      </c>
      <c r="G105" s="21"/>
      <c r="H105" s="21"/>
      <c r="I105" s="19"/>
      <c r="J105" s="22">
        <f t="shared" si="8"/>
        <v>0</v>
      </c>
      <c r="K105" s="22"/>
      <c r="L105" s="24">
        <f t="shared" si="7"/>
        <v>0</v>
      </c>
      <c r="M105" s="25"/>
      <c r="N105" s="26"/>
    </row>
    <row r="106" spans="2:14">
      <c r="B106" s="19" t="s">
        <v>2425</v>
      </c>
      <c r="C106" s="20" t="s">
        <v>15</v>
      </c>
      <c r="D106" s="21" t="s">
        <v>2442</v>
      </c>
      <c r="E106" s="22">
        <v>75.82</v>
      </c>
      <c r="F106" s="21" t="s">
        <v>17</v>
      </c>
      <c r="G106" s="21" t="s">
        <v>21</v>
      </c>
      <c r="H106" s="21" t="s">
        <v>2443</v>
      </c>
      <c r="I106" s="19" t="s">
        <v>2425</v>
      </c>
      <c r="J106" s="22">
        <f t="shared" si="8"/>
        <v>75.82</v>
      </c>
      <c r="K106" s="22">
        <v>75.82</v>
      </c>
      <c r="L106" s="24">
        <f t="shared" si="7"/>
        <v>0</v>
      </c>
      <c r="M106" s="25"/>
      <c r="N106" s="26"/>
    </row>
    <row r="107" spans="2:14">
      <c r="B107" s="19" t="s">
        <v>2444</v>
      </c>
      <c r="C107" s="20" t="s">
        <v>15</v>
      </c>
      <c r="D107" s="21" t="s">
        <v>2445</v>
      </c>
      <c r="E107" s="22">
        <v>1381.06</v>
      </c>
      <c r="F107" s="21" t="s">
        <v>17</v>
      </c>
      <c r="G107" s="21" t="s">
        <v>21</v>
      </c>
      <c r="H107" s="21" t="s">
        <v>2446</v>
      </c>
      <c r="I107" s="19" t="s">
        <v>2425</v>
      </c>
      <c r="J107" s="22">
        <f t="shared" si="8"/>
        <v>1381.06</v>
      </c>
      <c r="K107" s="22">
        <v>1381.06</v>
      </c>
      <c r="L107" s="24">
        <f t="shared" si="7"/>
        <v>0</v>
      </c>
      <c r="M107" s="25"/>
      <c r="N107" s="26"/>
    </row>
    <row r="108" spans="2:14">
      <c r="B108" s="19" t="s">
        <v>2444</v>
      </c>
      <c r="C108" s="20" t="s">
        <v>15</v>
      </c>
      <c r="D108" s="21" t="s">
        <v>2447</v>
      </c>
      <c r="E108" s="22">
        <v>75.82</v>
      </c>
      <c r="F108" s="21" t="s">
        <v>17</v>
      </c>
      <c r="G108" s="21" t="s">
        <v>21</v>
      </c>
      <c r="H108" s="21" t="s">
        <v>2448</v>
      </c>
      <c r="I108" s="19" t="s">
        <v>2444</v>
      </c>
      <c r="J108" s="22">
        <f t="shared" si="8"/>
        <v>75.82</v>
      </c>
      <c r="K108" s="22">
        <v>75.82</v>
      </c>
      <c r="L108" s="24">
        <f t="shared" si="7"/>
        <v>0</v>
      </c>
      <c r="M108" s="25"/>
      <c r="N108" s="26"/>
    </row>
    <row r="109" spans="2:14">
      <c r="B109" s="19" t="s">
        <v>2444</v>
      </c>
      <c r="C109" s="20" t="s">
        <v>15</v>
      </c>
      <c r="D109" s="21" t="s">
        <v>2449</v>
      </c>
      <c r="E109" s="22">
        <v>242.27</v>
      </c>
      <c r="F109" s="21" t="s">
        <v>17</v>
      </c>
      <c r="G109" s="21" t="s">
        <v>21</v>
      </c>
      <c r="H109" s="21" t="s">
        <v>2450</v>
      </c>
      <c r="I109" s="19" t="s">
        <v>2444</v>
      </c>
      <c r="J109" s="22">
        <f t="shared" si="8"/>
        <v>242.27</v>
      </c>
      <c r="K109" s="22">
        <v>205.31</v>
      </c>
      <c r="L109" s="24">
        <f t="shared" si="7"/>
        <v>36.96</v>
      </c>
      <c r="M109" s="25"/>
      <c r="N109" s="26"/>
    </row>
    <row r="110" spans="2:14">
      <c r="B110" s="19"/>
      <c r="C110" s="20"/>
      <c r="D110" s="21"/>
      <c r="E110" s="22"/>
      <c r="F110" s="21" t="s">
        <v>17</v>
      </c>
      <c r="G110" s="21" t="s">
        <v>21</v>
      </c>
      <c r="H110" s="21" t="s">
        <v>2451</v>
      </c>
      <c r="I110" s="19" t="s">
        <v>2444</v>
      </c>
      <c r="J110" s="22"/>
      <c r="K110" s="22">
        <v>36.96</v>
      </c>
      <c r="L110" s="24">
        <f t="shared" si="7"/>
        <v>-36.96</v>
      </c>
      <c r="M110" s="25"/>
      <c r="N110" s="26"/>
    </row>
    <row r="111" spans="2:14">
      <c r="B111" s="19" t="s">
        <v>2444</v>
      </c>
      <c r="C111" s="20" t="s">
        <v>15</v>
      </c>
      <c r="D111" s="21" t="s">
        <v>2452</v>
      </c>
      <c r="E111" s="22">
        <v>734.2</v>
      </c>
      <c r="F111" s="21" t="s">
        <v>585</v>
      </c>
      <c r="G111" s="21"/>
      <c r="H111" s="21"/>
      <c r="I111" s="19" t="s">
        <v>2444</v>
      </c>
      <c r="J111" s="22">
        <f>E111</f>
        <v>734.2</v>
      </c>
      <c r="K111" s="22">
        <v>734.2</v>
      </c>
      <c r="L111" s="24">
        <f t="shared" si="7"/>
        <v>0</v>
      </c>
      <c r="M111" s="25"/>
      <c r="N111" s="26"/>
    </row>
    <row r="112" spans="2:14">
      <c r="B112" s="19"/>
      <c r="C112" s="20"/>
      <c r="D112" s="21"/>
      <c r="E112" s="22"/>
      <c r="F112" s="21" t="s">
        <v>71</v>
      </c>
      <c r="G112" s="21"/>
      <c r="H112" s="21"/>
      <c r="I112" s="19"/>
      <c r="J112" s="22"/>
      <c r="K112" s="22"/>
      <c r="L112" s="24"/>
      <c r="M112" s="25"/>
      <c r="N112" s="26"/>
    </row>
    <row r="113" spans="2:14">
      <c r="B113" s="19" t="s">
        <v>2444</v>
      </c>
      <c r="C113" s="20" t="s">
        <v>15</v>
      </c>
      <c r="D113" s="21" t="s">
        <v>2453</v>
      </c>
      <c r="E113" s="22">
        <v>209.57</v>
      </c>
      <c r="F113" s="21" t="s">
        <v>29</v>
      </c>
      <c r="G113" s="21"/>
      <c r="H113" s="21" t="s">
        <v>2454</v>
      </c>
      <c r="I113" s="19" t="s">
        <v>2444</v>
      </c>
      <c r="J113" s="22">
        <f t="shared" ref="J113:J138" si="9">E113</f>
        <v>209.57</v>
      </c>
      <c r="K113" s="22">
        <v>209.57</v>
      </c>
      <c r="L113" s="24">
        <f t="shared" ref="L113:L136" si="10">J113-K113</f>
        <v>0</v>
      </c>
      <c r="M113" s="25"/>
      <c r="N113" s="26"/>
    </row>
    <row r="114" spans="2:14">
      <c r="B114" s="19" t="s">
        <v>2444</v>
      </c>
      <c r="C114" s="20" t="s">
        <v>15</v>
      </c>
      <c r="D114" s="21" t="s">
        <v>2455</v>
      </c>
      <c r="E114" s="22">
        <v>109.83</v>
      </c>
      <c r="F114" s="21" t="s">
        <v>17</v>
      </c>
      <c r="G114" s="21"/>
      <c r="H114" s="21" t="s">
        <v>2456</v>
      </c>
      <c r="I114" s="19" t="s">
        <v>2444</v>
      </c>
      <c r="J114" s="22">
        <f t="shared" si="9"/>
        <v>109.83</v>
      </c>
      <c r="K114" s="22">
        <v>109.83</v>
      </c>
      <c r="L114" s="24">
        <f t="shared" si="10"/>
        <v>0</v>
      </c>
      <c r="M114" s="25"/>
      <c r="N114" s="26"/>
    </row>
    <row r="115" spans="2:14">
      <c r="B115" s="19" t="s">
        <v>2428</v>
      </c>
      <c r="C115" s="20" t="s">
        <v>15</v>
      </c>
      <c r="D115" s="21" t="s">
        <v>2457</v>
      </c>
      <c r="E115" s="22">
        <v>99.5</v>
      </c>
      <c r="F115" s="21" t="s">
        <v>17</v>
      </c>
      <c r="G115" s="21" t="s">
        <v>21</v>
      </c>
      <c r="H115" s="21" t="s">
        <v>2458</v>
      </c>
      <c r="I115" s="19" t="s">
        <v>2444</v>
      </c>
      <c r="J115" s="22">
        <f t="shared" si="9"/>
        <v>99.5</v>
      </c>
      <c r="K115" s="22">
        <v>99.5</v>
      </c>
      <c r="L115" s="24">
        <f t="shared" si="10"/>
        <v>0</v>
      </c>
      <c r="M115" s="25"/>
      <c r="N115" s="26" t="s">
        <v>33</v>
      </c>
    </row>
    <row r="116" spans="2:14">
      <c r="B116" s="19" t="s">
        <v>2428</v>
      </c>
      <c r="C116" s="20" t="s">
        <v>15</v>
      </c>
      <c r="D116" s="21" t="s">
        <v>2459</v>
      </c>
      <c r="E116" s="22">
        <v>61.23</v>
      </c>
      <c r="F116" s="21" t="s">
        <v>29</v>
      </c>
      <c r="G116" s="21"/>
      <c r="H116" s="21" t="s">
        <v>2460</v>
      </c>
      <c r="I116" s="19" t="s">
        <v>2428</v>
      </c>
      <c r="J116" s="22">
        <f t="shared" si="9"/>
        <v>61.23</v>
      </c>
      <c r="K116" s="22">
        <v>61.23</v>
      </c>
      <c r="L116" s="24">
        <f t="shared" si="10"/>
        <v>0</v>
      </c>
      <c r="M116" s="25"/>
      <c r="N116" s="26" t="s">
        <v>944</v>
      </c>
    </row>
    <row r="117" spans="2:14">
      <c r="B117" s="19" t="s">
        <v>2428</v>
      </c>
      <c r="C117" s="20" t="s">
        <v>15</v>
      </c>
      <c r="D117" s="21" t="s">
        <v>2461</v>
      </c>
      <c r="E117" s="22">
        <v>258.76</v>
      </c>
      <c r="F117" s="21" t="s">
        <v>29</v>
      </c>
      <c r="G117" s="21"/>
      <c r="H117" s="21" t="s">
        <v>2462</v>
      </c>
      <c r="I117" s="19" t="s">
        <v>2428</v>
      </c>
      <c r="J117" s="22">
        <f t="shared" si="9"/>
        <v>258.76</v>
      </c>
      <c r="K117" s="22">
        <v>258.76</v>
      </c>
      <c r="L117" s="24">
        <f t="shared" si="10"/>
        <v>0</v>
      </c>
      <c r="M117" s="25"/>
      <c r="N117" s="26"/>
    </row>
    <row r="118" spans="2:14">
      <c r="B118" s="19" t="s">
        <v>2428</v>
      </c>
      <c r="C118" s="20" t="s">
        <v>15</v>
      </c>
      <c r="D118" s="21" t="s">
        <v>2463</v>
      </c>
      <c r="E118" s="22">
        <v>124.61</v>
      </c>
      <c r="F118" s="21" t="s">
        <v>17</v>
      </c>
      <c r="G118" s="21" t="s">
        <v>21</v>
      </c>
      <c r="H118" s="21" t="s">
        <v>2464</v>
      </c>
      <c r="I118" s="19" t="s">
        <v>2428</v>
      </c>
      <c r="J118" s="22">
        <f t="shared" si="9"/>
        <v>124.61</v>
      </c>
      <c r="K118" s="22">
        <v>124.61</v>
      </c>
      <c r="L118" s="24">
        <f t="shared" si="10"/>
        <v>0</v>
      </c>
      <c r="M118" s="25"/>
      <c r="N118" s="26" t="s">
        <v>33</v>
      </c>
    </row>
    <row r="119" spans="2:14">
      <c r="B119" s="19" t="s">
        <v>2428</v>
      </c>
      <c r="C119" s="20" t="s">
        <v>15</v>
      </c>
      <c r="D119" s="21" t="s">
        <v>2465</v>
      </c>
      <c r="E119" s="22">
        <v>367.01</v>
      </c>
      <c r="F119" s="21" t="s">
        <v>17</v>
      </c>
      <c r="G119" s="21" t="s">
        <v>18</v>
      </c>
      <c r="H119" s="21" t="s">
        <v>2466</v>
      </c>
      <c r="I119" s="19" t="s">
        <v>2428</v>
      </c>
      <c r="J119" s="22">
        <f t="shared" si="9"/>
        <v>367.01</v>
      </c>
      <c r="K119" s="22">
        <v>367.01</v>
      </c>
      <c r="L119" s="24">
        <f t="shared" si="10"/>
        <v>0</v>
      </c>
      <c r="M119" s="25"/>
      <c r="N119" s="26"/>
    </row>
    <row r="120" spans="2:14">
      <c r="B120" s="19" t="s">
        <v>2428</v>
      </c>
      <c r="C120" s="20" t="s">
        <v>15</v>
      </c>
      <c r="D120" s="21" t="s">
        <v>2467</v>
      </c>
      <c r="E120" s="22">
        <v>529.83</v>
      </c>
      <c r="F120" s="21" t="s">
        <v>29</v>
      </c>
      <c r="G120" s="21"/>
      <c r="H120" s="21" t="s">
        <v>2468</v>
      </c>
      <c r="I120" s="19" t="s">
        <v>2428</v>
      </c>
      <c r="J120" s="22">
        <f t="shared" si="9"/>
        <v>529.83</v>
      </c>
      <c r="K120" s="22">
        <v>529.83</v>
      </c>
      <c r="L120" s="24">
        <f t="shared" si="10"/>
        <v>0</v>
      </c>
      <c r="M120" s="25"/>
      <c r="N120" s="26" t="s">
        <v>33</v>
      </c>
    </row>
    <row r="121" spans="2:14">
      <c r="B121" s="19" t="s">
        <v>2428</v>
      </c>
      <c r="C121" s="20" t="s">
        <v>15</v>
      </c>
      <c r="D121" s="21" t="s">
        <v>2469</v>
      </c>
      <c r="E121" s="22">
        <v>381.09</v>
      </c>
      <c r="F121" s="21" t="s">
        <v>17</v>
      </c>
      <c r="G121" s="21" t="s">
        <v>21</v>
      </c>
      <c r="H121" s="21" t="s">
        <v>2470</v>
      </c>
      <c r="I121" s="19" t="s">
        <v>2428</v>
      </c>
      <c r="J121" s="22">
        <f t="shared" si="9"/>
        <v>381.09</v>
      </c>
      <c r="K121" s="22">
        <v>381.09</v>
      </c>
      <c r="L121" s="24">
        <f t="shared" si="10"/>
        <v>0</v>
      </c>
      <c r="M121" s="25"/>
      <c r="N121" s="26" t="s">
        <v>39</v>
      </c>
    </row>
    <row r="122" spans="2:14">
      <c r="B122" s="19" t="s">
        <v>2428</v>
      </c>
      <c r="C122" s="20" t="s">
        <v>15</v>
      </c>
      <c r="D122" s="21" t="s">
        <v>2471</v>
      </c>
      <c r="E122" s="22">
        <v>389.56</v>
      </c>
      <c r="F122" s="21" t="s">
        <v>17</v>
      </c>
      <c r="G122" s="21" t="s">
        <v>18</v>
      </c>
      <c r="H122" s="21" t="s">
        <v>2472</v>
      </c>
      <c r="I122" s="19" t="s">
        <v>2428</v>
      </c>
      <c r="J122" s="22">
        <f t="shared" si="9"/>
        <v>389.56</v>
      </c>
      <c r="K122" s="22">
        <v>409.56</v>
      </c>
      <c r="L122" s="24">
        <f t="shared" si="10"/>
        <v>-20</v>
      </c>
      <c r="M122" s="25"/>
      <c r="N122" s="26"/>
    </row>
    <row r="123" spans="2:14">
      <c r="B123" s="19" t="s">
        <v>2428</v>
      </c>
      <c r="C123" s="20" t="s">
        <v>15</v>
      </c>
      <c r="D123" s="21" t="s">
        <v>2473</v>
      </c>
      <c r="E123" s="22">
        <v>715.04</v>
      </c>
      <c r="F123" s="21" t="s">
        <v>17</v>
      </c>
      <c r="G123" s="21" t="s">
        <v>21</v>
      </c>
      <c r="H123" s="21" t="s">
        <v>2474</v>
      </c>
      <c r="I123" s="19" t="s">
        <v>2428</v>
      </c>
      <c r="J123" s="22">
        <f t="shared" si="9"/>
        <v>715.04</v>
      </c>
      <c r="K123" s="22">
        <v>715.04</v>
      </c>
      <c r="L123" s="24">
        <f t="shared" si="10"/>
        <v>0</v>
      </c>
      <c r="M123" s="25"/>
      <c r="N123" s="26" t="s">
        <v>33</v>
      </c>
    </row>
    <row r="124" spans="2:14">
      <c r="B124" s="19" t="s">
        <v>2475</v>
      </c>
      <c r="C124" s="20" t="s">
        <v>15</v>
      </c>
      <c r="D124" s="21" t="s">
        <v>2476</v>
      </c>
      <c r="E124" s="22">
        <v>1344.68</v>
      </c>
      <c r="F124" s="21" t="s">
        <v>17</v>
      </c>
      <c r="G124" s="21" t="s">
        <v>18</v>
      </c>
      <c r="H124" s="21" t="s">
        <v>2477</v>
      </c>
      <c r="I124" s="19" t="s">
        <v>2428</v>
      </c>
      <c r="J124" s="22">
        <f t="shared" si="9"/>
        <v>1344.68</v>
      </c>
      <c r="K124" s="22">
        <v>1344.68</v>
      </c>
      <c r="L124" s="24">
        <f t="shared" si="10"/>
        <v>0</v>
      </c>
      <c r="M124" s="25"/>
      <c r="N124" s="26"/>
    </row>
    <row r="125" spans="2:14">
      <c r="B125" s="19" t="s">
        <v>2475</v>
      </c>
      <c r="C125" s="20" t="s">
        <v>15</v>
      </c>
      <c r="D125" s="21" t="s">
        <v>2478</v>
      </c>
      <c r="E125" s="22">
        <v>219.45</v>
      </c>
      <c r="F125" s="21" t="s">
        <v>29</v>
      </c>
      <c r="G125" s="21"/>
      <c r="H125" s="21" t="s">
        <v>2479</v>
      </c>
      <c r="I125" s="19" t="s">
        <v>2428</v>
      </c>
      <c r="J125" s="22">
        <f t="shared" si="9"/>
        <v>219.45</v>
      </c>
      <c r="K125" s="22">
        <v>219.45</v>
      </c>
      <c r="L125" s="24">
        <f t="shared" si="10"/>
        <v>0</v>
      </c>
      <c r="M125" s="25"/>
      <c r="N125" s="26"/>
    </row>
    <row r="126" spans="2:14">
      <c r="B126" s="19" t="s">
        <v>2475</v>
      </c>
      <c r="C126" s="20" t="s">
        <v>15</v>
      </c>
      <c r="D126" s="21" t="s">
        <v>2480</v>
      </c>
      <c r="E126" s="22">
        <v>727.7</v>
      </c>
      <c r="F126" s="21" t="s">
        <v>17</v>
      </c>
      <c r="G126" s="21" t="s">
        <v>21</v>
      </c>
      <c r="H126" s="21" t="s">
        <v>2481</v>
      </c>
      <c r="I126" s="19" t="s">
        <v>2475</v>
      </c>
      <c r="J126" s="22">
        <f t="shared" si="9"/>
        <v>727.7</v>
      </c>
      <c r="K126" s="22">
        <v>727.7</v>
      </c>
      <c r="L126" s="24">
        <f t="shared" si="10"/>
        <v>0</v>
      </c>
      <c r="M126" s="25"/>
      <c r="N126" s="26"/>
    </row>
    <row r="127" spans="2:14">
      <c r="B127" s="19" t="s">
        <v>2475</v>
      </c>
      <c r="C127" s="20" t="s">
        <v>15</v>
      </c>
      <c r="D127" s="21" t="s">
        <v>2482</v>
      </c>
      <c r="E127" s="22">
        <v>367</v>
      </c>
      <c r="F127" s="21" t="s">
        <v>29</v>
      </c>
      <c r="G127" s="21"/>
      <c r="H127" s="21" t="s">
        <v>2483</v>
      </c>
      <c r="I127" s="19" t="s">
        <v>2475</v>
      </c>
      <c r="J127" s="22">
        <f t="shared" si="9"/>
        <v>367</v>
      </c>
      <c r="K127" s="22">
        <v>367</v>
      </c>
      <c r="L127" s="24">
        <f t="shared" si="10"/>
        <v>0</v>
      </c>
      <c r="M127" s="25"/>
      <c r="N127" s="26"/>
    </row>
    <row r="128" spans="2:14">
      <c r="B128" s="19" t="s">
        <v>2475</v>
      </c>
      <c r="C128" s="20" t="s">
        <v>15</v>
      </c>
      <c r="D128" s="21" t="s">
        <v>2484</v>
      </c>
      <c r="E128" s="22">
        <v>2115.77</v>
      </c>
      <c r="F128" s="21" t="s">
        <v>17</v>
      </c>
      <c r="G128" s="21" t="s">
        <v>21</v>
      </c>
      <c r="H128" s="21" t="s">
        <v>2485</v>
      </c>
      <c r="I128" s="19" t="s">
        <v>2428</v>
      </c>
      <c r="J128" s="22">
        <f t="shared" si="9"/>
        <v>2115.77</v>
      </c>
      <c r="K128" s="22">
        <v>2115.77</v>
      </c>
      <c r="L128" s="24">
        <f t="shared" si="10"/>
        <v>0</v>
      </c>
      <c r="M128" s="25"/>
      <c r="N128" s="26" t="s">
        <v>56</v>
      </c>
    </row>
    <row r="129" spans="2:14">
      <c r="B129" s="19" t="s">
        <v>2486</v>
      </c>
      <c r="C129" s="20" t="s">
        <v>15</v>
      </c>
      <c r="D129" s="21" t="s">
        <v>2487</v>
      </c>
      <c r="E129" s="22">
        <v>102.08</v>
      </c>
      <c r="F129" s="21" t="s">
        <v>17</v>
      </c>
      <c r="G129" s="21" t="s">
        <v>21</v>
      </c>
      <c r="H129" s="21" t="s">
        <v>2488</v>
      </c>
      <c r="I129" s="19" t="s">
        <v>2486</v>
      </c>
      <c r="J129" s="22">
        <f t="shared" si="9"/>
        <v>102.08</v>
      </c>
      <c r="K129" s="22">
        <v>102.08</v>
      </c>
      <c r="L129" s="24">
        <f t="shared" si="10"/>
        <v>0</v>
      </c>
      <c r="M129" s="25"/>
      <c r="N129" s="26"/>
    </row>
    <row r="130" spans="2:14">
      <c r="B130" s="19" t="s">
        <v>2486</v>
      </c>
      <c r="C130" s="20" t="s">
        <v>15</v>
      </c>
      <c r="D130" s="21" t="s">
        <v>2489</v>
      </c>
      <c r="E130" s="22">
        <v>326.25</v>
      </c>
      <c r="F130" s="21" t="s">
        <v>17</v>
      </c>
      <c r="G130" s="21" t="s">
        <v>21</v>
      </c>
      <c r="H130" s="21" t="s">
        <v>2490</v>
      </c>
      <c r="I130" s="19" t="s">
        <v>2486</v>
      </c>
      <c r="J130" s="22">
        <f t="shared" si="9"/>
        <v>326.25</v>
      </c>
      <c r="K130" s="22">
        <v>326.25</v>
      </c>
      <c r="L130" s="24">
        <f t="shared" si="10"/>
        <v>0</v>
      </c>
      <c r="M130" s="25"/>
      <c r="N130" s="26"/>
    </row>
    <row r="131" spans="2:14">
      <c r="B131" s="19" t="s">
        <v>2486</v>
      </c>
      <c r="C131" s="20" t="s">
        <v>15</v>
      </c>
      <c r="D131" s="21" t="s">
        <v>2491</v>
      </c>
      <c r="E131" s="22">
        <v>207.32</v>
      </c>
      <c r="F131" s="21" t="s">
        <v>471</v>
      </c>
      <c r="G131" s="21"/>
      <c r="H131" s="21"/>
      <c r="I131" s="19" t="s">
        <v>2486</v>
      </c>
      <c r="J131" s="22">
        <f t="shared" si="9"/>
        <v>207.32</v>
      </c>
      <c r="K131" s="22">
        <v>207.32</v>
      </c>
      <c r="L131" s="24">
        <f t="shared" si="10"/>
        <v>0</v>
      </c>
      <c r="M131" s="25"/>
      <c r="N131" s="26"/>
    </row>
    <row r="132" spans="2:14">
      <c r="B132" s="19" t="s">
        <v>2486</v>
      </c>
      <c r="C132" s="20" t="s">
        <v>15</v>
      </c>
      <c r="D132" s="21" t="s">
        <v>2492</v>
      </c>
      <c r="E132" s="22">
        <v>207.32</v>
      </c>
      <c r="F132" s="21" t="s">
        <v>17</v>
      </c>
      <c r="G132" s="21" t="s">
        <v>21</v>
      </c>
      <c r="H132" s="21" t="s">
        <v>2493</v>
      </c>
      <c r="I132" s="19" t="s">
        <v>2486</v>
      </c>
      <c r="J132" s="22">
        <f t="shared" si="9"/>
        <v>207.32</v>
      </c>
      <c r="K132" s="22">
        <v>195.53</v>
      </c>
      <c r="L132" s="24">
        <f t="shared" si="10"/>
        <v>11.79</v>
      </c>
      <c r="M132" s="25"/>
      <c r="N132" s="26"/>
    </row>
    <row r="133" spans="2:14">
      <c r="B133" s="19"/>
      <c r="C133" s="20"/>
      <c r="D133" s="21"/>
      <c r="E133" s="22"/>
      <c r="F133" s="21" t="s">
        <v>17</v>
      </c>
      <c r="G133" s="21" t="s">
        <v>21</v>
      </c>
      <c r="H133" s="21" t="s">
        <v>2494</v>
      </c>
      <c r="I133" s="19" t="s">
        <v>2486</v>
      </c>
      <c r="J133" s="22">
        <f t="shared" si="9"/>
        <v>0</v>
      </c>
      <c r="K133" s="22">
        <v>11.79</v>
      </c>
      <c r="L133" s="24">
        <f t="shared" si="10"/>
        <v>-11.79</v>
      </c>
      <c r="M133" s="25"/>
      <c r="N133" s="26"/>
    </row>
    <row r="134" spans="2:14">
      <c r="B134" s="19" t="s">
        <v>2486</v>
      </c>
      <c r="C134" s="20" t="s">
        <v>15</v>
      </c>
      <c r="D134" s="21" t="s">
        <v>2495</v>
      </c>
      <c r="E134" s="22">
        <v>194.78</v>
      </c>
      <c r="F134" s="21" t="s">
        <v>17</v>
      </c>
      <c r="G134" s="21" t="s">
        <v>21</v>
      </c>
      <c r="H134" s="21" t="s">
        <v>2496</v>
      </c>
      <c r="I134" s="19" t="s">
        <v>2486</v>
      </c>
      <c r="J134" s="22">
        <f t="shared" si="9"/>
        <v>194.78</v>
      </c>
      <c r="K134" s="22">
        <v>194.78</v>
      </c>
      <c r="L134" s="24">
        <f t="shared" si="10"/>
        <v>0</v>
      </c>
      <c r="M134" s="25"/>
      <c r="N134" s="26"/>
    </row>
    <row r="135" spans="2:14">
      <c r="B135" s="19" t="s">
        <v>2486</v>
      </c>
      <c r="C135" s="20" t="s">
        <v>15</v>
      </c>
      <c r="D135" s="21" t="s">
        <v>2497</v>
      </c>
      <c r="E135" s="22">
        <v>1210.85</v>
      </c>
      <c r="F135" s="21" t="s">
        <v>17</v>
      </c>
      <c r="G135" s="21" t="s">
        <v>21</v>
      </c>
      <c r="H135" s="21" t="s">
        <v>2498</v>
      </c>
      <c r="I135" s="19" t="s">
        <v>2486</v>
      </c>
      <c r="J135" s="22">
        <f t="shared" si="9"/>
        <v>1210.85</v>
      </c>
      <c r="K135" s="22">
        <v>1174.53</v>
      </c>
      <c r="L135" s="24">
        <f t="shared" si="10"/>
        <v>36.3199999999999</v>
      </c>
      <c r="M135" s="25"/>
      <c r="N135" s="31"/>
    </row>
    <row r="136" spans="2:14">
      <c r="B136" s="19"/>
      <c r="C136" s="20"/>
      <c r="D136" s="21"/>
      <c r="E136" s="22"/>
      <c r="F136" s="21" t="s">
        <v>71</v>
      </c>
      <c r="G136" s="21"/>
      <c r="H136" s="21"/>
      <c r="I136" s="19"/>
      <c r="J136" s="22"/>
      <c r="K136" s="22"/>
      <c r="L136" s="24">
        <f t="shared" si="10"/>
        <v>0</v>
      </c>
      <c r="M136" s="25"/>
      <c r="N136" s="31"/>
    </row>
    <row r="137" spans="2:14">
      <c r="B137" s="19" t="s">
        <v>2486</v>
      </c>
      <c r="C137" s="20" t="s">
        <v>15</v>
      </c>
      <c r="D137" s="21" t="s">
        <v>2499</v>
      </c>
      <c r="E137" s="22">
        <v>140.6</v>
      </c>
      <c r="F137" s="21" t="s">
        <v>17</v>
      </c>
      <c r="G137" s="21" t="s">
        <v>37</v>
      </c>
      <c r="H137" s="21" t="s">
        <v>2500</v>
      </c>
      <c r="I137" s="19" t="s">
        <v>2486</v>
      </c>
      <c r="J137" s="22">
        <f t="shared" ref="J137:J157" si="11">E137</f>
        <v>140.6</v>
      </c>
      <c r="K137" s="22">
        <v>140.6</v>
      </c>
      <c r="L137" s="24">
        <f t="shared" ref="L137:L189" si="12">J137-K137</f>
        <v>0</v>
      </c>
      <c r="M137" s="25"/>
      <c r="N137" s="26" t="s">
        <v>23</v>
      </c>
    </row>
    <row r="138" spans="2:14">
      <c r="B138" s="19" t="s">
        <v>2486</v>
      </c>
      <c r="C138" s="20" t="s">
        <v>15</v>
      </c>
      <c r="D138" s="21" t="s">
        <v>2501</v>
      </c>
      <c r="E138" s="22">
        <v>74.04</v>
      </c>
      <c r="F138" s="21" t="s">
        <v>17</v>
      </c>
      <c r="G138" s="21" t="s">
        <v>21</v>
      </c>
      <c r="H138" s="21" t="s">
        <v>2502</v>
      </c>
      <c r="I138" s="19" t="s">
        <v>2486</v>
      </c>
      <c r="J138" s="22">
        <f t="shared" si="11"/>
        <v>74.04</v>
      </c>
      <c r="K138" s="22">
        <v>74.04</v>
      </c>
      <c r="L138" s="24">
        <f t="shared" si="12"/>
        <v>0</v>
      </c>
      <c r="M138" s="25"/>
      <c r="N138" s="26"/>
    </row>
    <row r="139" spans="2:14">
      <c r="B139" s="19" t="s">
        <v>2486</v>
      </c>
      <c r="C139" s="20" t="s">
        <v>15</v>
      </c>
      <c r="D139" s="21" t="s">
        <v>2503</v>
      </c>
      <c r="E139" s="22">
        <v>470.54</v>
      </c>
      <c r="F139" s="21" t="s">
        <v>2504</v>
      </c>
      <c r="G139" s="21"/>
      <c r="H139" s="21"/>
      <c r="I139" s="19" t="s">
        <v>2486</v>
      </c>
      <c r="J139" s="22">
        <f t="shared" si="11"/>
        <v>470.54</v>
      </c>
      <c r="K139" s="22">
        <v>470.54</v>
      </c>
      <c r="L139" s="24">
        <f t="shared" si="12"/>
        <v>0</v>
      </c>
      <c r="M139" s="25"/>
      <c r="N139" s="26" t="s">
        <v>56</v>
      </c>
    </row>
    <row r="140" spans="2:14">
      <c r="B140" s="19" t="s">
        <v>2486</v>
      </c>
      <c r="C140" s="20" t="s">
        <v>15</v>
      </c>
      <c r="D140" s="21" t="s">
        <v>2505</v>
      </c>
      <c r="E140" s="22">
        <v>291.07</v>
      </c>
      <c r="F140" s="21" t="s">
        <v>17</v>
      </c>
      <c r="G140" s="21" t="s">
        <v>21</v>
      </c>
      <c r="H140" s="21" t="s">
        <v>2506</v>
      </c>
      <c r="I140" s="19" t="s">
        <v>2486</v>
      </c>
      <c r="J140" s="22">
        <f t="shared" si="11"/>
        <v>291.07</v>
      </c>
      <c r="K140" s="22">
        <v>291.07</v>
      </c>
      <c r="L140" s="24">
        <f t="shared" si="12"/>
        <v>0</v>
      </c>
      <c r="M140" s="25"/>
      <c r="N140" s="26" t="s">
        <v>56</v>
      </c>
    </row>
    <row r="141" spans="2:14">
      <c r="B141" s="19" t="s">
        <v>2507</v>
      </c>
      <c r="C141" s="20" t="s">
        <v>64</v>
      </c>
      <c r="D141" s="21" t="s">
        <v>2508</v>
      </c>
      <c r="E141" s="22">
        <v>123.56</v>
      </c>
      <c r="F141" s="21" t="s">
        <v>17</v>
      </c>
      <c r="G141" s="21" t="s">
        <v>21</v>
      </c>
      <c r="H141" s="21" t="s">
        <v>2509</v>
      </c>
      <c r="I141" s="19" t="s">
        <v>2507</v>
      </c>
      <c r="J141" s="22">
        <f t="shared" si="11"/>
        <v>123.56</v>
      </c>
      <c r="K141" s="22">
        <v>123.56</v>
      </c>
      <c r="L141" s="24">
        <f t="shared" si="12"/>
        <v>0</v>
      </c>
      <c r="M141" s="25"/>
      <c r="N141" s="26"/>
    </row>
    <row r="142" spans="2:14">
      <c r="B142" s="19" t="s">
        <v>2507</v>
      </c>
      <c r="C142" s="20" t="s">
        <v>64</v>
      </c>
      <c r="D142" s="21" t="s">
        <v>2510</v>
      </c>
      <c r="E142" s="22">
        <v>302.14</v>
      </c>
      <c r="F142" s="21" t="s">
        <v>29</v>
      </c>
      <c r="G142" s="21"/>
      <c r="H142" s="21" t="s">
        <v>2511</v>
      </c>
      <c r="I142" s="19" t="s">
        <v>2507</v>
      </c>
      <c r="J142" s="22">
        <f t="shared" si="11"/>
        <v>302.14</v>
      </c>
      <c r="K142" s="22">
        <v>302.14</v>
      </c>
      <c r="L142" s="24">
        <f t="shared" si="12"/>
        <v>0</v>
      </c>
      <c r="M142" s="25"/>
      <c r="N142" s="26"/>
    </row>
    <row r="143" spans="2:14">
      <c r="B143" s="19" t="s">
        <v>2507</v>
      </c>
      <c r="C143" s="20" t="s">
        <v>15</v>
      </c>
      <c r="D143" s="21" t="s">
        <v>2512</v>
      </c>
      <c r="E143" s="22">
        <v>71.71</v>
      </c>
      <c r="F143" s="21" t="s">
        <v>17</v>
      </c>
      <c r="G143" s="21" t="s">
        <v>18</v>
      </c>
      <c r="H143" s="21" t="s">
        <v>2513</v>
      </c>
      <c r="I143" s="19" t="s">
        <v>2507</v>
      </c>
      <c r="J143" s="22">
        <f t="shared" si="11"/>
        <v>71.71</v>
      </c>
      <c r="K143" s="22">
        <v>71.71</v>
      </c>
      <c r="L143" s="24">
        <f t="shared" si="12"/>
        <v>0</v>
      </c>
      <c r="M143" s="25"/>
      <c r="N143" s="26"/>
    </row>
    <row r="144" spans="2:14">
      <c r="B144" s="19" t="s">
        <v>2507</v>
      </c>
      <c r="C144" s="20" t="s">
        <v>15</v>
      </c>
      <c r="D144" s="21" t="s">
        <v>2514</v>
      </c>
      <c r="E144" s="22">
        <v>43.95</v>
      </c>
      <c r="F144" s="21" t="s">
        <v>17</v>
      </c>
      <c r="G144" s="21" t="s">
        <v>18</v>
      </c>
      <c r="H144" s="21" t="s">
        <v>2515</v>
      </c>
      <c r="I144" s="19" t="s">
        <v>2507</v>
      </c>
      <c r="J144" s="22">
        <f t="shared" si="11"/>
        <v>43.95</v>
      </c>
      <c r="K144" s="22">
        <v>43.95</v>
      </c>
      <c r="L144" s="24">
        <f t="shared" si="12"/>
        <v>0</v>
      </c>
      <c r="M144" s="25"/>
      <c r="N144" s="26"/>
    </row>
    <row r="145" spans="1:14">
      <c r="B145" s="19" t="s">
        <v>2507</v>
      </c>
      <c r="C145" s="20" t="s">
        <v>15</v>
      </c>
      <c r="D145" s="21" t="s">
        <v>2516</v>
      </c>
      <c r="E145" s="22">
        <v>688.14</v>
      </c>
      <c r="F145" s="21" t="s">
        <v>17</v>
      </c>
      <c r="G145" s="21" t="s">
        <v>18</v>
      </c>
      <c r="H145" s="21" t="s">
        <v>2517</v>
      </c>
      <c r="I145" s="19" t="s">
        <v>2507</v>
      </c>
      <c r="J145" s="22">
        <f t="shared" si="11"/>
        <v>688.14</v>
      </c>
      <c r="K145" s="22">
        <v>688.14</v>
      </c>
      <c r="L145" s="24">
        <f t="shared" si="12"/>
        <v>0</v>
      </c>
      <c r="M145" s="25"/>
      <c r="N145" s="26"/>
    </row>
    <row r="146" spans="1:14">
      <c r="B146" s="19" t="s">
        <v>2507</v>
      </c>
      <c r="C146" s="20" t="s">
        <v>15</v>
      </c>
      <c r="D146" s="21" t="s">
        <v>2518</v>
      </c>
      <c r="E146" s="22">
        <v>1761.65</v>
      </c>
      <c r="F146" s="21" t="s">
        <v>17</v>
      </c>
      <c r="G146" s="21" t="s">
        <v>21</v>
      </c>
      <c r="H146" s="21" t="s">
        <v>2519</v>
      </c>
      <c r="I146" s="19" t="s">
        <v>2507</v>
      </c>
      <c r="J146" s="22">
        <f t="shared" si="11"/>
        <v>1761.65</v>
      </c>
      <c r="K146" s="22">
        <v>1761.65</v>
      </c>
      <c r="L146" s="24">
        <f t="shared" si="12"/>
        <v>0</v>
      </c>
      <c r="M146" s="25"/>
      <c r="N146" s="26"/>
    </row>
    <row r="147" spans="1:14">
      <c r="B147" s="19" t="s">
        <v>2507</v>
      </c>
      <c r="C147" s="20" t="s">
        <v>15</v>
      </c>
      <c r="D147" s="21" t="s">
        <v>2520</v>
      </c>
      <c r="E147" s="22">
        <v>1882.16</v>
      </c>
      <c r="F147" s="21" t="s">
        <v>17</v>
      </c>
      <c r="G147" s="21" t="s">
        <v>18</v>
      </c>
      <c r="H147" s="21" t="s">
        <v>2521</v>
      </c>
      <c r="I147" s="19" t="s">
        <v>2507</v>
      </c>
      <c r="J147" s="22">
        <f t="shared" si="11"/>
        <v>1882.16</v>
      </c>
      <c r="K147" s="22">
        <v>1882.16</v>
      </c>
      <c r="L147" s="24">
        <f t="shared" si="12"/>
        <v>0</v>
      </c>
      <c r="M147" s="25"/>
      <c r="N147" s="26"/>
    </row>
    <row r="148" spans="1:14">
      <c r="B148" s="19" t="s">
        <v>2507</v>
      </c>
      <c r="C148" s="20" t="s">
        <v>15</v>
      </c>
      <c r="D148" s="21" t="s">
        <v>2522</v>
      </c>
      <c r="E148" s="22">
        <v>517.53</v>
      </c>
      <c r="F148" s="21" t="s">
        <v>17</v>
      </c>
      <c r="G148" s="21" t="s">
        <v>21</v>
      </c>
      <c r="H148" s="21" t="s">
        <v>2523</v>
      </c>
      <c r="I148" s="19" t="s">
        <v>2507</v>
      </c>
      <c r="J148" s="22">
        <f t="shared" si="11"/>
        <v>517.53</v>
      </c>
      <c r="K148" s="22">
        <v>517.53</v>
      </c>
      <c r="L148" s="24">
        <f t="shared" si="12"/>
        <v>0</v>
      </c>
      <c r="M148" s="25"/>
      <c r="N148" s="26"/>
    </row>
    <row r="149" spans="1:14">
      <c r="B149" s="19" t="s">
        <v>2524</v>
      </c>
      <c r="C149" s="20" t="s">
        <v>15</v>
      </c>
      <c r="D149" s="21" t="s">
        <v>2525</v>
      </c>
      <c r="E149" s="22">
        <v>941.24</v>
      </c>
      <c r="F149" s="21" t="s">
        <v>17</v>
      </c>
      <c r="G149" s="21" t="s">
        <v>21</v>
      </c>
      <c r="H149" s="21" t="s">
        <v>2526</v>
      </c>
      <c r="I149" s="19" t="s">
        <v>2507</v>
      </c>
      <c r="J149" s="22">
        <f t="shared" si="11"/>
        <v>941.24</v>
      </c>
      <c r="K149" s="22">
        <v>941.24</v>
      </c>
      <c r="L149" s="24">
        <f t="shared" si="12"/>
        <v>0</v>
      </c>
      <c r="M149" s="25"/>
      <c r="N149" s="26" t="s">
        <v>224</v>
      </c>
    </row>
    <row r="150" spans="1:14">
      <c r="B150" s="19" t="s">
        <v>2524</v>
      </c>
      <c r="C150" s="20" t="s">
        <v>15</v>
      </c>
      <c r="D150" s="21" t="s">
        <v>2527</v>
      </c>
      <c r="E150" s="22">
        <v>1139.51</v>
      </c>
      <c r="F150" s="21" t="s">
        <v>17</v>
      </c>
      <c r="G150" s="21" t="s">
        <v>21</v>
      </c>
      <c r="H150" s="21" t="s">
        <v>2528</v>
      </c>
      <c r="I150" s="19" t="s">
        <v>2524</v>
      </c>
      <c r="J150" s="22">
        <f t="shared" si="11"/>
        <v>1139.51</v>
      </c>
      <c r="K150" s="22">
        <v>1139.51</v>
      </c>
      <c r="L150" s="24">
        <f t="shared" si="12"/>
        <v>0</v>
      </c>
      <c r="M150" s="25"/>
      <c r="N150" s="26"/>
    </row>
    <row r="151" spans="1:14">
      <c r="B151" s="19" t="s">
        <v>2524</v>
      </c>
      <c r="C151" s="20" t="s">
        <v>15</v>
      </c>
      <c r="D151" s="21" t="s">
        <v>2529</v>
      </c>
      <c r="E151" s="22">
        <v>157.55</v>
      </c>
      <c r="F151" s="21" t="s">
        <v>17</v>
      </c>
      <c r="G151" s="21" t="s">
        <v>21</v>
      </c>
      <c r="H151" s="21" t="s">
        <v>2530</v>
      </c>
      <c r="I151" s="19" t="s">
        <v>2524</v>
      </c>
      <c r="J151" s="22">
        <f t="shared" si="11"/>
        <v>157.55</v>
      </c>
      <c r="K151" s="22">
        <v>157.55</v>
      </c>
      <c r="L151" s="24">
        <f t="shared" si="12"/>
        <v>0</v>
      </c>
      <c r="M151" s="25"/>
      <c r="N151" s="26"/>
    </row>
    <row r="152" spans="1:14">
      <c r="A152" s="32"/>
      <c r="B152" s="19" t="s">
        <v>2524</v>
      </c>
      <c r="C152" s="20" t="s">
        <v>15</v>
      </c>
      <c r="D152" s="21" t="s">
        <v>2531</v>
      </c>
      <c r="E152" s="22">
        <v>2221.8</v>
      </c>
      <c r="F152" s="21" t="s">
        <v>17</v>
      </c>
      <c r="G152" s="21" t="s">
        <v>21</v>
      </c>
      <c r="H152" s="21" t="s">
        <v>2532</v>
      </c>
      <c r="I152" s="19" t="s">
        <v>2524</v>
      </c>
      <c r="J152" s="22">
        <f t="shared" si="11"/>
        <v>2221.8</v>
      </c>
      <c r="K152" s="22">
        <v>2155.15</v>
      </c>
      <c r="L152" s="24">
        <f t="shared" si="12"/>
        <v>66.6500000000001</v>
      </c>
      <c r="M152" s="25"/>
      <c r="N152" s="26"/>
    </row>
    <row r="153" spans="1:14">
      <c r="A153" s="33"/>
      <c r="B153" s="19"/>
      <c r="C153" s="20"/>
      <c r="D153" s="21"/>
      <c r="E153" s="22"/>
      <c r="F153" s="21" t="s">
        <v>71</v>
      </c>
      <c r="G153" s="21"/>
      <c r="H153" s="21"/>
      <c r="I153" s="19"/>
      <c r="J153" s="22">
        <f t="shared" si="11"/>
        <v>0</v>
      </c>
      <c r="K153" s="22">
        <v>66.65</v>
      </c>
      <c r="L153" s="24">
        <f t="shared" si="12"/>
        <v>-66.65</v>
      </c>
      <c r="M153" s="25"/>
      <c r="N153" s="26"/>
    </row>
    <row r="154" spans="1:14">
      <c r="A154" s="33"/>
      <c r="B154" s="19" t="s">
        <v>2524</v>
      </c>
      <c r="C154" s="20" t="s">
        <v>15</v>
      </c>
      <c r="D154" s="21" t="s">
        <v>2533</v>
      </c>
      <c r="E154" s="22">
        <v>4683.34</v>
      </c>
      <c r="F154" s="21" t="s">
        <v>17</v>
      </c>
      <c r="G154" s="21" t="s">
        <v>21</v>
      </c>
      <c r="H154" s="21" t="s">
        <v>2534</v>
      </c>
      <c r="I154" s="19" t="s">
        <v>2524</v>
      </c>
      <c r="J154" s="22">
        <f t="shared" si="11"/>
        <v>4683.34</v>
      </c>
      <c r="K154" s="22">
        <v>4542.84</v>
      </c>
      <c r="L154" s="24">
        <f t="shared" si="12"/>
        <v>140.5</v>
      </c>
      <c r="M154" s="25"/>
      <c r="N154" s="26"/>
    </row>
    <row r="155" spans="1:14">
      <c r="A155" s="33"/>
      <c r="B155" s="19"/>
      <c r="C155" s="20"/>
      <c r="D155" s="21"/>
      <c r="E155" s="22"/>
      <c r="F155" s="21" t="s">
        <v>71</v>
      </c>
      <c r="G155" s="21"/>
      <c r="H155" s="21"/>
      <c r="I155" s="19"/>
      <c r="J155" s="22">
        <f t="shared" si="11"/>
        <v>0</v>
      </c>
      <c r="K155" s="22">
        <v>140.5</v>
      </c>
      <c r="L155" s="24">
        <f t="shared" si="12"/>
        <v>-140.5</v>
      </c>
      <c r="M155" s="25"/>
      <c r="N155" s="26"/>
    </row>
    <row r="156" spans="1:14">
      <c r="B156" s="19" t="s">
        <v>2524</v>
      </c>
      <c r="C156" s="20" t="s">
        <v>15</v>
      </c>
      <c r="D156" s="21" t="s">
        <v>2535</v>
      </c>
      <c r="E156" s="22">
        <v>171.27</v>
      </c>
      <c r="F156" s="21" t="s">
        <v>29</v>
      </c>
      <c r="G156" s="21"/>
      <c r="H156" s="21" t="s">
        <v>2536</v>
      </c>
      <c r="I156" s="19" t="s">
        <v>2524</v>
      </c>
      <c r="J156" s="22">
        <f t="shared" si="11"/>
        <v>171.27</v>
      </c>
      <c r="K156" s="22">
        <v>171.27</v>
      </c>
      <c r="L156" s="24">
        <f t="shared" si="12"/>
        <v>0</v>
      </c>
      <c r="M156" s="25"/>
      <c r="N156" s="26"/>
    </row>
    <row r="157" spans="1:14">
      <c r="B157" s="19" t="s">
        <v>2524</v>
      </c>
      <c r="C157" s="20" t="s">
        <v>15</v>
      </c>
      <c r="D157" s="21" t="s">
        <v>2537</v>
      </c>
      <c r="E157" s="22">
        <v>273.97</v>
      </c>
      <c r="F157" s="21" t="s">
        <v>17</v>
      </c>
      <c r="G157" s="21" t="s">
        <v>21</v>
      </c>
      <c r="H157" s="21" t="s">
        <v>2538</v>
      </c>
      <c r="I157" s="19" t="s">
        <v>2524</v>
      </c>
      <c r="J157" s="22">
        <f t="shared" si="11"/>
        <v>273.97</v>
      </c>
      <c r="K157" s="22">
        <v>273.97</v>
      </c>
      <c r="L157" s="24">
        <f t="shared" si="12"/>
        <v>0</v>
      </c>
      <c r="M157" s="25"/>
      <c r="N157" s="26"/>
    </row>
    <row r="158" spans="1:14">
      <c r="B158" s="19" t="s">
        <v>2524</v>
      </c>
      <c r="C158" s="20" t="s">
        <v>15</v>
      </c>
      <c r="D158" s="21" t="s">
        <v>2539</v>
      </c>
      <c r="E158" s="22">
        <v>137.13</v>
      </c>
      <c r="F158" s="21" t="s">
        <v>29</v>
      </c>
      <c r="G158" s="21"/>
      <c r="H158" s="21" t="s">
        <v>2540</v>
      </c>
      <c r="I158" s="19" t="s">
        <v>2524</v>
      </c>
      <c r="J158" s="22">
        <f t="shared" ref="J156:J189" si="13">E158</f>
        <v>137.13</v>
      </c>
      <c r="K158" s="22">
        <v>137.13</v>
      </c>
      <c r="L158" s="24">
        <f t="shared" si="12"/>
        <v>0</v>
      </c>
      <c r="M158" s="25"/>
      <c r="N158" s="26"/>
    </row>
    <row r="159" spans="1:14">
      <c r="B159" s="19" t="s">
        <v>2524</v>
      </c>
      <c r="C159" s="20" t="s">
        <v>15</v>
      </c>
      <c r="D159" s="21" t="s">
        <v>2541</v>
      </c>
      <c r="E159" s="22">
        <v>1581.16</v>
      </c>
      <c r="F159" s="21" t="s">
        <v>17</v>
      </c>
      <c r="G159" s="21" t="s">
        <v>21</v>
      </c>
      <c r="H159" s="21" t="s">
        <v>2542</v>
      </c>
      <c r="I159" s="19" t="s">
        <v>2524</v>
      </c>
      <c r="J159" s="22">
        <f t="shared" si="13"/>
        <v>1581.16</v>
      </c>
      <c r="K159" s="22">
        <v>1581.16</v>
      </c>
      <c r="L159" s="24">
        <f t="shared" si="12"/>
        <v>0</v>
      </c>
      <c r="M159" s="25"/>
      <c r="N159" s="26" t="s">
        <v>33</v>
      </c>
    </row>
    <row r="160" spans="1:14">
      <c r="B160" s="19" t="s">
        <v>2524</v>
      </c>
      <c r="C160" s="20" t="s">
        <v>15</v>
      </c>
      <c r="D160" s="21" t="s">
        <v>2543</v>
      </c>
      <c r="E160" s="22">
        <v>101.36</v>
      </c>
      <c r="F160" s="21" t="s">
        <v>29</v>
      </c>
      <c r="G160" s="21"/>
      <c r="H160" s="21" t="s">
        <v>2544</v>
      </c>
      <c r="I160" s="19" t="s">
        <v>2524</v>
      </c>
      <c r="J160" s="22">
        <f t="shared" si="13"/>
        <v>101.36</v>
      </c>
      <c r="K160" s="22">
        <v>101.36</v>
      </c>
      <c r="L160" s="24">
        <f t="shared" si="12"/>
        <v>0</v>
      </c>
      <c r="M160" s="25"/>
      <c r="N160" s="26" t="s">
        <v>23</v>
      </c>
    </row>
    <row r="161" spans="2:14">
      <c r="B161" s="34" t="s">
        <v>2545</v>
      </c>
      <c r="C161" s="20" t="s">
        <v>15</v>
      </c>
      <c r="D161" s="21" t="s">
        <v>2546</v>
      </c>
      <c r="E161" s="22">
        <v>829.04</v>
      </c>
      <c r="F161" s="21" t="s">
        <v>17</v>
      </c>
      <c r="G161" s="21" t="s">
        <v>18</v>
      </c>
      <c r="H161" s="21" t="s">
        <v>2547</v>
      </c>
      <c r="I161" s="34" t="s">
        <v>2548</v>
      </c>
      <c r="J161" s="22">
        <f t="shared" si="13"/>
        <v>829.04</v>
      </c>
      <c r="K161" s="22">
        <v>829.04</v>
      </c>
      <c r="L161" s="24">
        <f t="shared" si="12"/>
        <v>0</v>
      </c>
      <c r="M161" s="25"/>
      <c r="N161" s="26"/>
    </row>
    <row r="162" spans="2:14">
      <c r="B162" s="34" t="s">
        <v>2545</v>
      </c>
      <c r="C162" s="20" t="s">
        <v>15</v>
      </c>
      <c r="D162" s="21" t="s">
        <v>2549</v>
      </c>
      <c r="E162" s="22">
        <v>202.72</v>
      </c>
      <c r="F162" s="21" t="s">
        <v>17</v>
      </c>
      <c r="G162" s="21" t="s">
        <v>21</v>
      </c>
      <c r="H162" s="21" t="s">
        <v>2550</v>
      </c>
      <c r="I162" s="34" t="s">
        <v>2545</v>
      </c>
      <c r="J162" s="22">
        <f t="shared" si="13"/>
        <v>202.72</v>
      </c>
      <c r="K162" s="22">
        <v>202.72</v>
      </c>
      <c r="L162" s="24">
        <f t="shared" si="12"/>
        <v>0</v>
      </c>
      <c r="M162" s="25"/>
      <c r="N162" s="31"/>
    </row>
    <row r="163" spans="2:14">
      <c r="B163" s="34" t="s">
        <v>2545</v>
      </c>
      <c r="C163" s="20" t="s">
        <v>15</v>
      </c>
      <c r="D163" s="21" t="s">
        <v>2551</v>
      </c>
      <c r="E163" s="22">
        <v>148.08</v>
      </c>
      <c r="F163" s="21" t="s">
        <v>17</v>
      </c>
      <c r="G163" s="21" t="s">
        <v>18</v>
      </c>
      <c r="H163" s="21" t="s">
        <v>2552</v>
      </c>
      <c r="I163" s="34" t="s">
        <v>2545</v>
      </c>
      <c r="J163" s="22">
        <f t="shared" si="13"/>
        <v>148.08</v>
      </c>
      <c r="K163" s="22">
        <v>148.08</v>
      </c>
      <c r="L163" s="24">
        <f t="shared" si="12"/>
        <v>0</v>
      </c>
      <c r="M163" s="25"/>
      <c r="N163" s="26"/>
    </row>
    <row r="164" spans="2:14">
      <c r="B164" s="34" t="s">
        <v>2545</v>
      </c>
      <c r="C164" s="20" t="s">
        <v>15</v>
      </c>
      <c r="D164" s="21" t="s">
        <v>2553</v>
      </c>
      <c r="E164" s="22">
        <v>172.04</v>
      </c>
      <c r="F164" s="21" t="s">
        <v>29</v>
      </c>
      <c r="G164" s="21"/>
      <c r="H164" s="21" t="s">
        <v>2554</v>
      </c>
      <c r="I164" s="34" t="s">
        <v>2545</v>
      </c>
      <c r="J164" s="22">
        <f t="shared" si="13"/>
        <v>172.04</v>
      </c>
      <c r="K164" s="22">
        <v>172.04</v>
      </c>
      <c r="L164" s="24">
        <f t="shared" si="12"/>
        <v>0</v>
      </c>
      <c r="M164" s="25"/>
      <c r="N164" s="26"/>
    </row>
    <row r="165" spans="2:14">
      <c r="B165" s="34" t="s">
        <v>2545</v>
      </c>
      <c r="C165" s="20" t="s">
        <v>15</v>
      </c>
      <c r="D165" s="21" t="s">
        <v>2555</v>
      </c>
      <c r="E165" s="22">
        <v>1412.24</v>
      </c>
      <c r="F165" s="21" t="s">
        <v>17</v>
      </c>
      <c r="G165" s="21" t="s">
        <v>21</v>
      </c>
      <c r="H165" s="21" t="s">
        <v>2556</v>
      </c>
      <c r="I165" s="34" t="s">
        <v>2545</v>
      </c>
      <c r="J165" s="22">
        <f t="shared" si="13"/>
        <v>1412.24</v>
      </c>
      <c r="K165" s="22">
        <v>1412.24</v>
      </c>
      <c r="L165" s="24">
        <f t="shared" si="12"/>
        <v>0</v>
      </c>
      <c r="M165" s="25"/>
      <c r="N165" s="26"/>
    </row>
    <row r="166" spans="2:14">
      <c r="B166" s="34" t="s">
        <v>2545</v>
      </c>
      <c r="C166" s="20" t="s">
        <v>15</v>
      </c>
      <c r="D166" s="21" t="s">
        <v>2557</v>
      </c>
      <c r="E166" s="22">
        <v>1632.11</v>
      </c>
      <c r="F166" s="21" t="s">
        <v>17</v>
      </c>
      <c r="G166" s="21" t="s">
        <v>21</v>
      </c>
      <c r="H166" s="21" t="s">
        <v>2558</v>
      </c>
      <c r="I166" s="34" t="s">
        <v>2545</v>
      </c>
      <c r="J166" s="22">
        <f t="shared" si="13"/>
        <v>1632.11</v>
      </c>
      <c r="K166" s="22">
        <v>1632.11</v>
      </c>
      <c r="L166" s="24">
        <f t="shared" si="12"/>
        <v>0</v>
      </c>
      <c r="M166" s="25"/>
      <c r="N166" s="31"/>
    </row>
    <row r="167" spans="2:14">
      <c r="B167" s="34" t="s">
        <v>2545</v>
      </c>
      <c r="C167" s="20" t="s">
        <v>15</v>
      </c>
      <c r="D167" s="21" t="s">
        <v>2559</v>
      </c>
      <c r="E167" s="22">
        <v>966.41</v>
      </c>
      <c r="F167" s="21" t="s">
        <v>17</v>
      </c>
      <c r="G167" s="21" t="s">
        <v>21</v>
      </c>
      <c r="H167" s="21" t="s">
        <v>2560</v>
      </c>
      <c r="I167" s="34" t="s">
        <v>2545</v>
      </c>
      <c r="J167" s="22">
        <f t="shared" si="13"/>
        <v>966.41</v>
      </c>
      <c r="K167" s="22">
        <v>966.41</v>
      </c>
      <c r="L167" s="24">
        <f t="shared" si="12"/>
        <v>0</v>
      </c>
      <c r="M167" s="25"/>
      <c r="N167" s="26"/>
    </row>
    <row r="168" spans="2:14">
      <c r="B168" s="34" t="s">
        <v>2545</v>
      </c>
      <c r="C168" s="20" t="s">
        <v>15</v>
      </c>
      <c r="D168" s="21" t="s">
        <v>2561</v>
      </c>
      <c r="E168" s="22">
        <v>183.5</v>
      </c>
      <c r="F168" s="21" t="s">
        <v>17</v>
      </c>
      <c r="G168" s="21" t="s">
        <v>21</v>
      </c>
      <c r="H168" s="21" t="s">
        <v>2562</v>
      </c>
      <c r="I168" s="34" t="s">
        <v>2545</v>
      </c>
      <c r="J168" s="22">
        <f t="shared" si="13"/>
        <v>183.5</v>
      </c>
      <c r="K168" s="22">
        <v>183.5</v>
      </c>
      <c r="L168" s="24">
        <f t="shared" si="12"/>
        <v>0</v>
      </c>
      <c r="M168" s="25"/>
      <c r="N168" s="26"/>
    </row>
    <row r="169" spans="2:14">
      <c r="B169" s="34" t="s">
        <v>2563</v>
      </c>
      <c r="C169" s="20" t="s">
        <v>15</v>
      </c>
      <c r="D169" s="21" t="s">
        <v>2564</v>
      </c>
      <c r="E169" s="22">
        <v>537.51</v>
      </c>
      <c r="F169" s="21" t="s">
        <v>17</v>
      </c>
      <c r="G169" s="21" t="s">
        <v>21</v>
      </c>
      <c r="H169" s="21" t="s">
        <v>2565</v>
      </c>
      <c r="I169" s="34" t="s">
        <v>2545</v>
      </c>
      <c r="J169" s="22">
        <f t="shared" si="13"/>
        <v>537.51</v>
      </c>
      <c r="K169" s="22">
        <v>537.51</v>
      </c>
      <c r="L169" s="24">
        <f t="shared" si="12"/>
        <v>0</v>
      </c>
      <c r="M169" s="25"/>
      <c r="N169" s="31"/>
    </row>
    <row r="170" spans="2:14">
      <c r="B170" s="34" t="s">
        <v>2563</v>
      </c>
      <c r="C170" s="20" t="s">
        <v>15</v>
      </c>
      <c r="D170" s="21" t="s">
        <v>2566</v>
      </c>
      <c r="E170" s="22">
        <v>1103.72</v>
      </c>
      <c r="F170" s="21" t="s">
        <v>17</v>
      </c>
      <c r="G170" s="21" t="s">
        <v>21</v>
      </c>
      <c r="H170" s="21" t="s">
        <v>2567</v>
      </c>
      <c r="I170" s="34" t="s">
        <v>2545</v>
      </c>
      <c r="J170" s="22">
        <f t="shared" si="13"/>
        <v>1103.72</v>
      </c>
      <c r="K170" s="22">
        <v>1103.72</v>
      </c>
      <c r="L170" s="24">
        <f t="shared" si="12"/>
        <v>0</v>
      </c>
      <c r="M170" s="25"/>
      <c r="N170" s="26"/>
    </row>
    <row r="171" spans="2:14">
      <c r="B171" s="34" t="s">
        <v>2563</v>
      </c>
      <c r="C171" s="20" t="s">
        <v>15</v>
      </c>
      <c r="D171" s="21" t="s">
        <v>2568</v>
      </c>
      <c r="E171" s="22">
        <v>71.71</v>
      </c>
      <c r="F171" s="21" t="s">
        <v>585</v>
      </c>
      <c r="G171" s="21"/>
      <c r="H171" s="21"/>
      <c r="I171" s="34" t="s">
        <v>2563</v>
      </c>
      <c r="J171" s="22">
        <f t="shared" si="13"/>
        <v>71.71</v>
      </c>
      <c r="K171" s="22">
        <v>71.71</v>
      </c>
      <c r="L171" s="24">
        <f t="shared" si="12"/>
        <v>0</v>
      </c>
      <c r="M171" s="35"/>
      <c r="N171" s="26" t="s">
        <v>56</v>
      </c>
    </row>
    <row r="172" spans="2:14">
      <c r="B172" s="34" t="s">
        <v>2563</v>
      </c>
      <c r="C172" s="20" t="s">
        <v>15</v>
      </c>
      <c r="D172" s="21" t="s">
        <v>2569</v>
      </c>
      <c r="E172" s="22">
        <v>532.56</v>
      </c>
      <c r="F172" s="21" t="s">
        <v>17</v>
      </c>
      <c r="G172" s="21" t="s">
        <v>18</v>
      </c>
      <c r="H172" s="21" t="s">
        <v>2570</v>
      </c>
      <c r="I172" s="34" t="s">
        <v>2563</v>
      </c>
      <c r="J172" s="22">
        <f t="shared" si="13"/>
        <v>532.56</v>
      </c>
      <c r="K172" s="22">
        <v>532.56</v>
      </c>
      <c r="L172" s="24">
        <f t="shared" si="12"/>
        <v>0</v>
      </c>
      <c r="M172" s="25"/>
      <c r="N172" s="26" t="s">
        <v>56</v>
      </c>
    </row>
    <row r="173" spans="2:14">
      <c r="B173" s="34" t="s">
        <v>2571</v>
      </c>
      <c r="C173" s="20" t="s">
        <v>15</v>
      </c>
      <c r="D173" s="21" t="s">
        <v>2572</v>
      </c>
      <c r="E173" s="22">
        <v>285.37</v>
      </c>
      <c r="F173" s="21" t="s">
        <v>17</v>
      </c>
      <c r="G173" s="21" t="s">
        <v>21</v>
      </c>
      <c r="H173" s="21" t="s">
        <v>2573</v>
      </c>
      <c r="I173" s="34" t="s">
        <v>2571</v>
      </c>
      <c r="J173" s="22">
        <f t="shared" si="13"/>
        <v>285.37</v>
      </c>
      <c r="K173" s="22">
        <v>285.37</v>
      </c>
      <c r="L173" s="24">
        <f t="shared" si="12"/>
        <v>0</v>
      </c>
      <c r="M173" s="25"/>
      <c r="N173" s="26" t="s">
        <v>23</v>
      </c>
    </row>
    <row r="174" spans="2:14">
      <c r="B174" s="34" t="s">
        <v>2571</v>
      </c>
      <c r="C174" s="20" t="s">
        <v>15</v>
      </c>
      <c r="D174" s="21" t="s">
        <v>2574</v>
      </c>
      <c r="E174" s="22">
        <v>206.04</v>
      </c>
      <c r="F174" s="21" t="s">
        <v>17</v>
      </c>
      <c r="G174" s="21" t="s">
        <v>21</v>
      </c>
      <c r="H174" s="21" t="s">
        <v>2575</v>
      </c>
      <c r="I174" s="34" t="s">
        <v>2571</v>
      </c>
      <c r="J174" s="22">
        <f t="shared" si="13"/>
        <v>206.04</v>
      </c>
      <c r="K174" s="22">
        <v>206.04</v>
      </c>
      <c r="L174" s="24">
        <f t="shared" si="12"/>
        <v>0</v>
      </c>
      <c r="M174" s="25"/>
      <c r="N174" s="26" t="s">
        <v>224</v>
      </c>
    </row>
    <row r="175" spans="2:14">
      <c r="B175" s="34" t="s">
        <v>2571</v>
      </c>
      <c r="C175" s="20" t="s">
        <v>15</v>
      </c>
      <c r="D175" s="21" t="s">
        <v>2576</v>
      </c>
      <c r="E175" s="22">
        <v>473.21</v>
      </c>
      <c r="F175" s="21" t="s">
        <v>17</v>
      </c>
      <c r="G175" s="21" t="s">
        <v>21</v>
      </c>
      <c r="H175" s="21" t="s">
        <v>2577</v>
      </c>
      <c r="I175" s="34" t="s">
        <v>2571</v>
      </c>
      <c r="J175" s="22">
        <f t="shared" si="13"/>
        <v>473.21</v>
      </c>
      <c r="K175" s="22">
        <v>473.21</v>
      </c>
      <c r="L175" s="24">
        <f t="shared" si="12"/>
        <v>0</v>
      </c>
      <c r="M175" s="25"/>
      <c r="N175" s="31"/>
    </row>
    <row r="176" spans="2:14">
      <c r="B176" s="34" t="s">
        <v>2571</v>
      </c>
      <c r="C176" s="20" t="s">
        <v>15</v>
      </c>
      <c r="D176" s="21" t="s">
        <v>2578</v>
      </c>
      <c r="E176" s="22">
        <v>454.93</v>
      </c>
      <c r="F176" s="21" t="s">
        <v>29</v>
      </c>
      <c r="G176" s="21"/>
      <c r="H176" s="21" t="s">
        <v>2579</v>
      </c>
      <c r="I176" s="34" t="s">
        <v>2571</v>
      </c>
      <c r="J176" s="22">
        <f t="shared" si="13"/>
        <v>454.93</v>
      </c>
      <c r="K176" s="22">
        <v>454.93</v>
      </c>
      <c r="L176" s="24">
        <f t="shared" si="12"/>
        <v>0</v>
      </c>
      <c r="M176" s="25"/>
      <c r="N176" s="26" t="s">
        <v>944</v>
      </c>
    </row>
    <row r="177" spans="2:14">
      <c r="B177" s="34" t="s">
        <v>2571</v>
      </c>
      <c r="C177" s="20" t="s">
        <v>15</v>
      </c>
      <c r="D177" s="21" t="s">
        <v>2580</v>
      </c>
      <c r="E177" s="22">
        <v>241.98</v>
      </c>
      <c r="F177" s="21" t="s">
        <v>17</v>
      </c>
      <c r="G177" s="21" t="s">
        <v>21</v>
      </c>
      <c r="H177" s="36" t="s">
        <v>2581</v>
      </c>
      <c r="I177" s="34" t="s">
        <v>2571</v>
      </c>
      <c r="J177" s="22">
        <f t="shared" si="13"/>
        <v>241.98</v>
      </c>
      <c r="K177" s="22">
        <v>241.98</v>
      </c>
      <c r="L177" s="24">
        <f t="shared" si="12"/>
        <v>0</v>
      </c>
      <c r="M177" s="25"/>
      <c r="N177" s="26"/>
    </row>
    <row r="178" spans="2:14">
      <c r="B178" s="34" t="s">
        <v>2571</v>
      </c>
      <c r="C178" s="20" t="s">
        <v>15</v>
      </c>
      <c r="D178" s="21" t="s">
        <v>2582</v>
      </c>
      <c r="E178" s="22">
        <v>273.39</v>
      </c>
      <c r="F178" s="21" t="s">
        <v>2583</v>
      </c>
      <c r="G178" s="21"/>
      <c r="H178" s="21" t="s">
        <v>2584</v>
      </c>
      <c r="I178" s="34" t="s">
        <v>2571</v>
      </c>
      <c r="J178" s="22">
        <f t="shared" si="13"/>
        <v>273.39</v>
      </c>
      <c r="K178" s="22">
        <v>273.39</v>
      </c>
      <c r="L178" s="24">
        <f t="shared" si="12"/>
        <v>0</v>
      </c>
      <c r="M178" s="25"/>
      <c r="N178" s="26" t="s">
        <v>366</v>
      </c>
    </row>
    <row r="179" spans="2:14">
      <c r="B179" s="34" t="s">
        <v>2585</v>
      </c>
      <c r="C179" s="20" t="s">
        <v>15</v>
      </c>
      <c r="D179" s="21" t="s">
        <v>2586</v>
      </c>
      <c r="E179" s="37">
        <v>171.27</v>
      </c>
      <c r="F179" s="21" t="s">
        <v>29</v>
      </c>
      <c r="G179" s="21"/>
      <c r="H179" s="21" t="s">
        <v>2587</v>
      </c>
      <c r="I179" s="34" t="s">
        <v>2585</v>
      </c>
      <c r="J179" s="22">
        <f t="shared" si="13"/>
        <v>171.27</v>
      </c>
      <c r="K179" s="37">
        <v>171.27</v>
      </c>
      <c r="L179" s="24">
        <f t="shared" si="12"/>
        <v>0</v>
      </c>
      <c r="M179" s="25"/>
      <c r="N179" s="26"/>
    </row>
    <row r="180" spans="2:14">
      <c r="B180" s="34" t="s">
        <v>2585</v>
      </c>
      <c r="C180" s="20" t="s">
        <v>15</v>
      </c>
      <c r="D180" s="21" t="s">
        <v>2588</v>
      </c>
      <c r="E180" s="37">
        <v>401.32</v>
      </c>
      <c r="F180" s="21" t="s">
        <v>17</v>
      </c>
      <c r="G180" s="21" t="s">
        <v>21</v>
      </c>
      <c r="H180" s="21" t="s">
        <v>2589</v>
      </c>
      <c r="I180" s="34" t="s">
        <v>2585</v>
      </c>
      <c r="J180" s="22">
        <f t="shared" si="13"/>
        <v>401.32</v>
      </c>
      <c r="K180" s="37">
        <v>401.32</v>
      </c>
      <c r="L180" s="24">
        <f t="shared" si="12"/>
        <v>0</v>
      </c>
      <c r="M180" s="25"/>
      <c r="N180" s="26"/>
    </row>
    <row r="181" spans="2:14">
      <c r="B181" s="34" t="s">
        <v>2585</v>
      </c>
      <c r="C181" s="20" t="s">
        <v>15</v>
      </c>
      <c r="D181" s="21" t="s">
        <v>2590</v>
      </c>
      <c r="E181" s="37">
        <v>171.27</v>
      </c>
      <c r="F181" s="21" t="s">
        <v>17</v>
      </c>
      <c r="G181" s="21" t="s">
        <v>18</v>
      </c>
      <c r="H181" s="21" t="s">
        <v>2591</v>
      </c>
      <c r="I181" s="34" t="s">
        <v>2585</v>
      </c>
      <c r="J181" s="22">
        <f t="shared" si="13"/>
        <v>171.27</v>
      </c>
      <c r="K181" s="37">
        <v>171.27</v>
      </c>
      <c r="L181" s="24">
        <f t="shared" si="12"/>
        <v>0</v>
      </c>
      <c r="M181" s="25"/>
      <c r="N181" s="26"/>
    </row>
    <row r="182" spans="2:14">
      <c r="B182" s="34" t="s">
        <v>2585</v>
      </c>
      <c r="C182" s="20" t="s">
        <v>15</v>
      </c>
      <c r="D182" s="21" t="s">
        <v>2592</v>
      </c>
      <c r="E182" s="37">
        <v>1328.55</v>
      </c>
      <c r="F182" s="21" t="s">
        <v>17</v>
      </c>
      <c r="G182" s="21" t="s">
        <v>21</v>
      </c>
      <c r="H182" s="21" t="s">
        <v>2593</v>
      </c>
      <c r="I182" s="34" t="s">
        <v>2585</v>
      </c>
      <c r="J182" s="22">
        <f t="shared" si="13"/>
        <v>1328.55</v>
      </c>
      <c r="K182" s="37">
        <v>1328.55</v>
      </c>
      <c r="L182" s="24">
        <f t="shared" si="12"/>
        <v>0</v>
      </c>
      <c r="M182" s="25"/>
      <c r="N182" s="26"/>
    </row>
    <row r="183" spans="2:14">
      <c r="B183" s="34" t="s">
        <v>2585</v>
      </c>
      <c r="C183" s="20" t="s">
        <v>15</v>
      </c>
      <c r="D183" s="21" t="s">
        <v>2594</v>
      </c>
      <c r="E183" s="37">
        <v>906.91</v>
      </c>
      <c r="F183" s="21" t="s">
        <v>29</v>
      </c>
      <c r="G183" s="21"/>
      <c r="H183" s="21" t="s">
        <v>2595</v>
      </c>
      <c r="I183" s="34" t="s">
        <v>2585</v>
      </c>
      <c r="J183" s="22">
        <f t="shared" si="13"/>
        <v>906.91</v>
      </c>
      <c r="K183" s="37">
        <v>906.91</v>
      </c>
      <c r="L183" s="24">
        <f t="shared" si="12"/>
        <v>0</v>
      </c>
      <c r="M183" s="25"/>
      <c r="N183" s="26"/>
    </row>
    <row r="184" spans="2:14">
      <c r="B184" s="34" t="s">
        <v>2585</v>
      </c>
      <c r="C184" s="20" t="s">
        <v>15</v>
      </c>
      <c r="D184" s="21" t="s">
        <v>2596</v>
      </c>
      <c r="E184" s="37">
        <v>402.87</v>
      </c>
      <c r="F184" s="21" t="s">
        <v>17</v>
      </c>
      <c r="G184" s="21" t="s">
        <v>21</v>
      </c>
      <c r="H184" s="21" t="s">
        <v>2597</v>
      </c>
      <c r="I184" s="34" t="s">
        <v>2585</v>
      </c>
      <c r="J184" s="22">
        <f t="shared" si="13"/>
        <v>402.87</v>
      </c>
      <c r="K184" s="37">
        <v>2756.48</v>
      </c>
      <c r="L184" s="24">
        <f t="shared" si="12"/>
        <v>-2353.61</v>
      </c>
      <c r="M184" s="25" t="s">
        <v>2598</v>
      </c>
      <c r="N184" s="26"/>
    </row>
    <row r="185" spans="2:14">
      <c r="B185" s="34" t="s">
        <v>2585</v>
      </c>
      <c r="C185" s="20" t="s">
        <v>15</v>
      </c>
      <c r="D185" s="21" t="s">
        <v>2599</v>
      </c>
      <c r="E185" s="37">
        <v>306.54</v>
      </c>
      <c r="F185" s="21" t="s">
        <v>17</v>
      </c>
      <c r="G185" s="21" t="s">
        <v>18</v>
      </c>
      <c r="H185" s="21" t="s">
        <v>2600</v>
      </c>
      <c r="I185" s="34" t="s">
        <v>2585</v>
      </c>
      <c r="J185" s="22">
        <f t="shared" si="13"/>
        <v>306.54</v>
      </c>
      <c r="K185" s="37">
        <v>306.54</v>
      </c>
      <c r="L185" s="24">
        <f t="shared" si="12"/>
        <v>0</v>
      </c>
      <c r="M185" s="25"/>
      <c r="N185" s="26"/>
    </row>
    <row r="186" spans="2:14">
      <c r="B186" s="34" t="s">
        <v>2585</v>
      </c>
      <c r="C186" s="20" t="s">
        <v>64</v>
      </c>
      <c r="D186" s="21" t="s">
        <v>2601</v>
      </c>
      <c r="E186" s="38">
        <v>189.12</v>
      </c>
      <c r="F186" s="21" t="s">
        <v>29</v>
      </c>
      <c r="G186" s="21"/>
      <c r="H186" s="21" t="s">
        <v>2602</v>
      </c>
      <c r="I186" s="34" t="s">
        <v>2585</v>
      </c>
      <c r="J186" s="22">
        <f t="shared" si="13"/>
        <v>189.12</v>
      </c>
      <c r="K186" s="38">
        <v>189.12</v>
      </c>
      <c r="L186" s="24">
        <f t="shared" si="12"/>
        <v>0</v>
      </c>
      <c r="M186" s="25"/>
      <c r="N186" s="26"/>
    </row>
    <row r="187" spans="2:14">
      <c r="B187" s="34" t="s">
        <v>2585</v>
      </c>
      <c r="C187" s="20" t="s">
        <v>64</v>
      </c>
      <c r="D187" s="21" t="s">
        <v>2603</v>
      </c>
      <c r="E187" s="38">
        <v>456.61</v>
      </c>
      <c r="F187" s="21" t="s">
        <v>17</v>
      </c>
      <c r="G187" s="21" t="s">
        <v>21</v>
      </c>
      <c r="H187" s="21" t="s">
        <v>2604</v>
      </c>
      <c r="I187" s="34" t="s">
        <v>2585</v>
      </c>
      <c r="J187" s="22">
        <f t="shared" si="13"/>
        <v>456.61</v>
      </c>
      <c r="K187" s="38">
        <v>456.61</v>
      </c>
      <c r="L187" s="24">
        <f t="shared" si="12"/>
        <v>0</v>
      </c>
      <c r="M187" s="25"/>
      <c r="N187" s="26"/>
    </row>
    <row r="188" spans="2:14">
      <c r="B188" s="34" t="s">
        <v>2585</v>
      </c>
      <c r="C188" s="20" t="s">
        <v>15</v>
      </c>
      <c r="D188" s="21" t="s">
        <v>2605</v>
      </c>
      <c r="E188" s="38">
        <v>420.84</v>
      </c>
      <c r="F188" s="21" t="s">
        <v>1518</v>
      </c>
      <c r="G188" s="21"/>
      <c r="H188" s="21" t="s">
        <v>2606</v>
      </c>
      <c r="I188" s="34" t="s">
        <v>2585</v>
      </c>
      <c r="J188" s="22">
        <f t="shared" si="13"/>
        <v>420.84</v>
      </c>
      <c r="K188" s="38">
        <v>383.08</v>
      </c>
      <c r="L188" s="24">
        <f t="shared" si="12"/>
        <v>37.76</v>
      </c>
      <c r="M188" s="25"/>
      <c r="N188" s="26"/>
    </row>
    <row r="189" spans="2:14">
      <c r="B189" s="34"/>
      <c r="C189" s="20"/>
      <c r="D189" s="21"/>
      <c r="E189" s="38"/>
      <c r="F189" s="21" t="s">
        <v>1518</v>
      </c>
      <c r="G189" s="21"/>
      <c r="H189" s="21" t="s">
        <v>2607</v>
      </c>
      <c r="I189" s="34" t="s">
        <v>2585</v>
      </c>
      <c r="J189" s="22">
        <f t="shared" si="13"/>
        <v>0</v>
      </c>
      <c r="K189" s="38">
        <v>37.76</v>
      </c>
      <c r="L189" s="24">
        <f t="shared" si="12"/>
        <v>-37.76</v>
      </c>
      <c r="M189" s="25"/>
      <c r="N189" s="26"/>
    </row>
    <row r="190" spans="2:14">
      <c r="B190" s="34" t="s">
        <v>2585</v>
      </c>
      <c r="C190" s="20" t="s">
        <v>15</v>
      </c>
      <c r="D190" s="21" t="s">
        <v>2608</v>
      </c>
      <c r="E190" s="38">
        <v>1531.6</v>
      </c>
      <c r="F190" s="21" t="s">
        <v>17</v>
      </c>
      <c r="G190" s="21" t="s">
        <v>18</v>
      </c>
      <c r="H190" s="21" t="s">
        <v>2609</v>
      </c>
      <c r="I190" s="34" t="s">
        <v>2610</v>
      </c>
      <c r="J190" s="22">
        <f t="shared" ref="J190:J231" si="14">E190</f>
        <v>1531.6</v>
      </c>
      <c r="K190" s="38">
        <v>1531.6</v>
      </c>
      <c r="L190" s="24">
        <f t="shared" ref="L190:L231" si="15">J190-K190</f>
        <v>0</v>
      </c>
      <c r="M190" s="25"/>
      <c r="N190" s="26"/>
    </row>
    <row r="191" spans="2:14">
      <c r="B191" s="34" t="s">
        <v>2585</v>
      </c>
      <c r="C191" s="20" t="s">
        <v>15</v>
      </c>
      <c r="D191" s="21" t="s">
        <v>2611</v>
      </c>
      <c r="E191" s="38">
        <v>4097.92</v>
      </c>
      <c r="F191" s="21" t="s">
        <v>17</v>
      </c>
      <c r="G191" s="21" t="s">
        <v>21</v>
      </c>
      <c r="H191" s="21" t="s">
        <v>2612</v>
      </c>
      <c r="I191" s="34" t="s">
        <v>2585</v>
      </c>
      <c r="J191" s="22">
        <f t="shared" si="14"/>
        <v>4097.92</v>
      </c>
      <c r="K191" s="22">
        <v>3974.98</v>
      </c>
      <c r="L191" s="24">
        <f t="shared" si="15"/>
        <v>122.94</v>
      </c>
      <c r="M191" s="25"/>
      <c r="N191" s="26"/>
    </row>
    <row r="192" spans="2:14">
      <c r="B192" s="34"/>
      <c r="C192" s="20"/>
      <c r="D192" s="21"/>
      <c r="E192" s="38"/>
      <c r="F192" s="21" t="s">
        <v>71</v>
      </c>
      <c r="G192" s="21"/>
      <c r="H192" s="21"/>
      <c r="I192" s="34"/>
      <c r="J192" s="22">
        <f t="shared" si="14"/>
        <v>0</v>
      </c>
      <c r="K192" s="22">
        <v>122.94</v>
      </c>
      <c r="L192" s="24">
        <f t="shared" si="15"/>
        <v>-122.94</v>
      </c>
      <c r="M192" s="25"/>
      <c r="N192" s="26"/>
    </row>
    <row r="193" spans="2:14">
      <c r="B193" s="34" t="s">
        <v>2613</v>
      </c>
      <c r="C193" s="20" t="s">
        <v>15</v>
      </c>
      <c r="D193" s="21" t="s">
        <v>2614</v>
      </c>
      <c r="E193" s="38">
        <v>806.26</v>
      </c>
      <c r="F193" s="21" t="s">
        <v>17</v>
      </c>
      <c r="G193" s="21" t="s">
        <v>21</v>
      </c>
      <c r="H193" s="21" t="s">
        <v>2615</v>
      </c>
      <c r="I193" s="34" t="s">
        <v>2613</v>
      </c>
      <c r="J193" s="22">
        <f t="shared" si="14"/>
        <v>806.26</v>
      </c>
      <c r="K193" s="38">
        <v>806.26</v>
      </c>
      <c r="L193" s="24">
        <f t="shared" si="15"/>
        <v>0</v>
      </c>
      <c r="M193" s="25"/>
      <c r="N193" s="31"/>
    </row>
    <row r="194" spans="2:14">
      <c r="B194" s="34" t="s">
        <v>2613</v>
      </c>
      <c r="C194" s="20" t="s">
        <v>15</v>
      </c>
      <c r="D194" s="21" t="s">
        <v>2616</v>
      </c>
      <c r="E194" s="38">
        <v>37.45</v>
      </c>
      <c r="F194" s="21" t="s">
        <v>17</v>
      </c>
      <c r="G194" s="21" t="s">
        <v>21</v>
      </c>
      <c r="H194" s="21" t="s">
        <v>2617</v>
      </c>
      <c r="I194" s="34" t="s">
        <v>2613</v>
      </c>
      <c r="J194" s="22">
        <f t="shared" si="14"/>
        <v>37.45</v>
      </c>
      <c r="K194" s="38">
        <v>37.45</v>
      </c>
      <c r="L194" s="24">
        <f t="shared" si="15"/>
        <v>0</v>
      </c>
      <c r="M194" s="25"/>
      <c r="N194" s="26" t="s">
        <v>944</v>
      </c>
    </row>
    <row r="195" spans="2:14">
      <c r="B195" s="34" t="s">
        <v>2613</v>
      </c>
      <c r="C195" s="20" t="s">
        <v>15</v>
      </c>
      <c r="D195" s="21" t="s">
        <v>2618</v>
      </c>
      <c r="E195" s="38">
        <v>210.22</v>
      </c>
      <c r="F195" s="21" t="s">
        <v>17</v>
      </c>
      <c r="G195" s="21" t="s">
        <v>21</v>
      </c>
      <c r="H195" s="21" t="s">
        <v>2619</v>
      </c>
      <c r="I195" s="34" t="s">
        <v>2613</v>
      </c>
      <c r="J195" s="22">
        <f t="shared" si="14"/>
        <v>210.22</v>
      </c>
      <c r="K195" s="38">
        <v>210.22</v>
      </c>
      <c r="L195" s="24">
        <f t="shared" si="15"/>
        <v>0</v>
      </c>
      <c r="M195" s="25"/>
      <c r="N195" s="26"/>
    </row>
    <row r="196" spans="2:14">
      <c r="B196" s="34"/>
      <c r="C196" s="20"/>
      <c r="D196" s="21"/>
      <c r="E196" s="38"/>
      <c r="F196" s="21"/>
      <c r="G196" s="21"/>
      <c r="H196" s="21"/>
      <c r="I196" s="34"/>
      <c r="J196" s="22">
        <f t="shared" si="14"/>
        <v>0</v>
      </c>
      <c r="K196" s="22"/>
      <c r="L196" s="24">
        <f t="shared" si="15"/>
        <v>0</v>
      </c>
      <c r="M196" s="25"/>
      <c r="N196" s="26"/>
    </row>
    <row r="197" spans="2:14">
      <c r="B197" s="34"/>
      <c r="C197" s="20"/>
      <c r="D197" s="21"/>
      <c r="E197" s="38"/>
      <c r="F197" s="21"/>
      <c r="G197" s="21"/>
      <c r="H197" s="21"/>
      <c r="I197" s="34"/>
      <c r="J197" s="22">
        <f t="shared" si="14"/>
        <v>0</v>
      </c>
      <c r="K197" s="22"/>
      <c r="L197" s="24">
        <f t="shared" si="15"/>
        <v>0</v>
      </c>
      <c r="M197" s="25"/>
      <c r="N197" s="26"/>
    </row>
    <row r="198" spans="2:14">
      <c r="B198" s="34"/>
      <c r="C198" s="20"/>
      <c r="D198" s="21"/>
      <c r="E198" s="38"/>
      <c r="F198" s="21"/>
      <c r="G198" s="21"/>
      <c r="H198" s="21"/>
      <c r="I198" s="34"/>
      <c r="J198" s="22">
        <f t="shared" si="14"/>
        <v>0</v>
      </c>
      <c r="K198" s="22"/>
      <c r="L198" s="24">
        <f t="shared" si="15"/>
        <v>0</v>
      </c>
      <c r="M198" s="25"/>
      <c r="N198" s="26"/>
    </row>
    <row r="199" spans="2:14">
      <c r="B199" s="34"/>
      <c r="C199" s="20"/>
      <c r="D199" s="21"/>
      <c r="E199" s="38"/>
      <c r="F199" s="21"/>
      <c r="G199" s="21"/>
      <c r="H199" s="21"/>
      <c r="I199" s="34"/>
      <c r="J199" s="22">
        <f t="shared" si="14"/>
        <v>0</v>
      </c>
      <c r="K199" s="22"/>
      <c r="L199" s="24">
        <f t="shared" si="15"/>
        <v>0</v>
      </c>
      <c r="M199" s="25"/>
      <c r="N199" s="31"/>
    </row>
    <row r="200" spans="2:14">
      <c r="B200" s="34"/>
      <c r="C200" s="20"/>
      <c r="D200" s="21"/>
      <c r="E200" s="38"/>
      <c r="F200" s="21"/>
      <c r="G200" s="21"/>
      <c r="H200" s="21"/>
      <c r="I200" s="34"/>
      <c r="J200" s="22">
        <f t="shared" si="14"/>
        <v>0</v>
      </c>
      <c r="K200" s="22"/>
      <c r="L200" s="24">
        <f t="shared" si="15"/>
        <v>0</v>
      </c>
      <c r="M200" s="25"/>
      <c r="N200" s="26"/>
    </row>
    <row r="201" spans="2:14">
      <c r="B201" s="34"/>
      <c r="C201" s="20"/>
      <c r="D201" s="21"/>
      <c r="E201" s="38"/>
      <c r="F201" s="21"/>
      <c r="G201" s="21"/>
      <c r="H201" s="21"/>
      <c r="I201" s="34"/>
      <c r="J201" s="22">
        <f t="shared" si="14"/>
        <v>0</v>
      </c>
      <c r="K201" s="22"/>
      <c r="L201" s="24">
        <f t="shared" si="15"/>
        <v>0</v>
      </c>
      <c r="M201" s="25"/>
      <c r="N201" s="26"/>
    </row>
    <row r="202" spans="2:14">
      <c r="B202" s="34"/>
      <c r="C202" s="20"/>
      <c r="D202" s="21"/>
      <c r="E202" s="38"/>
      <c r="F202" s="21"/>
      <c r="G202" s="21"/>
      <c r="H202" s="21"/>
      <c r="I202" s="34"/>
      <c r="J202" s="22">
        <f t="shared" si="14"/>
        <v>0</v>
      </c>
      <c r="K202" s="22"/>
      <c r="L202" s="24">
        <f t="shared" si="15"/>
        <v>0</v>
      </c>
      <c r="M202" s="25"/>
      <c r="N202" s="26"/>
    </row>
    <row r="203" spans="2:14">
      <c r="B203" s="34"/>
      <c r="C203" s="20"/>
      <c r="D203" s="21"/>
      <c r="E203" s="38"/>
      <c r="F203" s="21"/>
      <c r="G203" s="21"/>
      <c r="H203" s="34"/>
      <c r="I203" s="34"/>
      <c r="J203" s="22">
        <f t="shared" si="14"/>
        <v>0</v>
      </c>
      <c r="K203" s="22"/>
      <c r="L203" s="24">
        <f t="shared" si="15"/>
        <v>0</v>
      </c>
      <c r="M203" s="25"/>
      <c r="N203" s="26"/>
    </row>
    <row r="204" spans="2:14">
      <c r="B204" s="34"/>
      <c r="C204" s="20"/>
      <c r="D204" s="21"/>
      <c r="E204" s="38"/>
      <c r="F204" s="21"/>
      <c r="G204" s="21"/>
      <c r="H204" s="21"/>
      <c r="I204" s="34"/>
      <c r="J204" s="22">
        <f t="shared" si="14"/>
        <v>0</v>
      </c>
      <c r="K204" s="22"/>
      <c r="L204" s="24">
        <f t="shared" si="15"/>
        <v>0</v>
      </c>
      <c r="M204" s="25"/>
      <c r="N204" s="31"/>
    </row>
    <row r="205" spans="2:14">
      <c r="B205" s="34"/>
      <c r="C205" s="20"/>
      <c r="D205" s="21"/>
      <c r="E205" s="38"/>
      <c r="F205" s="21"/>
      <c r="G205" s="21"/>
      <c r="H205" s="21"/>
      <c r="I205" s="34"/>
      <c r="J205" s="22">
        <f t="shared" si="14"/>
        <v>0</v>
      </c>
      <c r="K205" s="22"/>
      <c r="L205" s="24">
        <f t="shared" si="15"/>
        <v>0</v>
      </c>
      <c r="M205" s="25"/>
      <c r="N205" s="31"/>
    </row>
    <row r="206" spans="2:14">
      <c r="B206" s="34"/>
      <c r="C206" s="20"/>
      <c r="D206" s="21"/>
      <c r="E206" s="38"/>
      <c r="F206" s="21"/>
      <c r="G206" s="21"/>
      <c r="H206" s="21"/>
      <c r="I206" s="34"/>
      <c r="J206" s="22">
        <f t="shared" si="14"/>
        <v>0</v>
      </c>
      <c r="K206" s="22"/>
      <c r="L206" s="43">
        <f t="shared" si="15"/>
        <v>0</v>
      </c>
      <c r="M206" s="25"/>
      <c r="N206" s="26"/>
    </row>
    <row r="207" spans="2:14">
      <c r="B207" s="34"/>
      <c r="C207" s="20"/>
      <c r="D207" s="21"/>
      <c r="E207" s="38"/>
      <c r="F207" s="21"/>
      <c r="G207" s="21"/>
      <c r="H207" s="21"/>
      <c r="I207" s="34"/>
      <c r="J207" s="22">
        <f t="shared" si="14"/>
        <v>0</v>
      </c>
      <c r="K207" s="22"/>
      <c r="L207" s="43">
        <f t="shared" si="15"/>
        <v>0</v>
      </c>
      <c r="M207" s="25"/>
      <c r="N207" s="31"/>
    </row>
    <row r="208" spans="2:14">
      <c r="B208" s="34"/>
      <c r="C208" s="20"/>
      <c r="D208" s="21"/>
      <c r="E208" s="38"/>
      <c r="F208" s="21"/>
      <c r="G208" s="21"/>
      <c r="H208" s="21"/>
      <c r="I208" s="34"/>
      <c r="J208" s="22">
        <f t="shared" si="14"/>
        <v>0</v>
      </c>
      <c r="K208" s="22"/>
      <c r="L208" s="43">
        <f t="shared" si="15"/>
        <v>0</v>
      </c>
      <c r="M208" s="25"/>
      <c r="N208" s="31"/>
    </row>
    <row r="209" spans="2:14">
      <c r="B209" s="34"/>
      <c r="C209" s="20"/>
      <c r="D209" s="21"/>
      <c r="E209" s="38"/>
      <c r="F209" s="21"/>
      <c r="G209" s="21"/>
      <c r="H209" s="21"/>
      <c r="I209" s="34"/>
      <c r="J209" s="22">
        <f t="shared" si="14"/>
        <v>0</v>
      </c>
      <c r="K209" s="22"/>
      <c r="L209" s="43">
        <f t="shared" si="15"/>
        <v>0</v>
      </c>
      <c r="M209" s="25"/>
      <c r="N209" s="31"/>
    </row>
    <row r="210" spans="2:14">
      <c r="B210" s="34"/>
      <c r="C210" s="20"/>
      <c r="D210" s="21"/>
      <c r="E210" s="38"/>
      <c r="F210" s="21"/>
      <c r="G210" s="21"/>
      <c r="H210" s="21"/>
      <c r="I210" s="34"/>
      <c r="J210" s="22">
        <f t="shared" si="14"/>
        <v>0</v>
      </c>
      <c r="K210" s="22"/>
      <c r="L210" s="43">
        <f t="shared" si="15"/>
        <v>0</v>
      </c>
      <c r="M210" s="25"/>
      <c r="N210" s="31"/>
    </row>
    <row r="211" spans="2:14">
      <c r="B211" s="34"/>
      <c r="C211" s="20"/>
      <c r="D211" s="21"/>
      <c r="E211" s="38"/>
      <c r="F211" s="21"/>
      <c r="G211" s="21"/>
      <c r="H211" s="21"/>
      <c r="I211" s="34"/>
      <c r="J211" s="22">
        <f t="shared" si="14"/>
        <v>0</v>
      </c>
      <c r="K211" s="22"/>
      <c r="L211" s="43">
        <f t="shared" si="15"/>
        <v>0</v>
      </c>
      <c r="M211" s="25"/>
      <c r="N211" s="31"/>
    </row>
    <row r="212" spans="2:14">
      <c r="B212" s="34"/>
      <c r="C212" s="20"/>
      <c r="D212" s="21"/>
      <c r="E212" s="38"/>
      <c r="F212" s="21"/>
      <c r="G212" s="21"/>
      <c r="H212" s="21"/>
      <c r="I212" s="34"/>
      <c r="J212" s="22">
        <f t="shared" si="14"/>
        <v>0</v>
      </c>
      <c r="K212" s="22"/>
      <c r="L212" s="43">
        <f t="shared" si="15"/>
        <v>0</v>
      </c>
      <c r="M212" s="25"/>
      <c r="N212" s="31"/>
    </row>
    <row r="213" spans="2:14">
      <c r="B213" s="34"/>
      <c r="C213" s="20"/>
      <c r="D213" s="21"/>
      <c r="E213" s="38"/>
      <c r="F213" s="21"/>
      <c r="G213" s="21"/>
      <c r="H213" s="21"/>
      <c r="I213" s="34"/>
      <c r="J213" s="22">
        <f t="shared" si="14"/>
        <v>0</v>
      </c>
      <c r="K213" s="22"/>
      <c r="L213" s="43">
        <f t="shared" si="15"/>
        <v>0</v>
      </c>
      <c r="M213" s="25"/>
      <c r="N213" s="31"/>
    </row>
    <row r="214" spans="2:14">
      <c r="B214" s="34"/>
      <c r="C214" s="20"/>
      <c r="D214" s="21"/>
      <c r="E214" s="38"/>
      <c r="F214" s="21"/>
      <c r="G214" s="21"/>
      <c r="H214" s="21"/>
      <c r="I214" s="34"/>
      <c r="J214" s="22">
        <f t="shared" si="14"/>
        <v>0</v>
      </c>
      <c r="K214" s="22"/>
      <c r="L214" s="43">
        <f t="shared" si="15"/>
        <v>0</v>
      </c>
      <c r="M214" s="25"/>
      <c r="N214" s="31"/>
    </row>
    <row r="215" spans="2:14">
      <c r="B215" s="34"/>
      <c r="C215" s="20"/>
      <c r="D215" s="21"/>
      <c r="E215" s="38"/>
      <c r="F215" s="21"/>
      <c r="G215" s="21"/>
      <c r="H215" s="21"/>
      <c r="I215" s="34"/>
      <c r="J215" s="22">
        <f t="shared" si="14"/>
        <v>0</v>
      </c>
      <c r="K215" s="22"/>
      <c r="L215" s="43">
        <f t="shared" si="15"/>
        <v>0</v>
      </c>
      <c r="M215" s="25"/>
      <c r="N215" s="31"/>
    </row>
    <row r="216" spans="2:14">
      <c r="B216" s="34"/>
      <c r="C216" s="20"/>
      <c r="D216" s="21"/>
      <c r="E216" s="39"/>
      <c r="F216" s="40"/>
      <c r="G216" s="21"/>
      <c r="H216" s="40"/>
      <c r="I216" s="34"/>
      <c r="J216" s="22">
        <f t="shared" si="14"/>
        <v>0</v>
      </c>
      <c r="K216" s="40"/>
      <c r="L216" s="43">
        <f t="shared" si="15"/>
        <v>0</v>
      </c>
      <c r="M216" s="41"/>
      <c r="N216" s="42"/>
    </row>
    <row r="217" spans="2:14">
      <c r="B217" s="34"/>
      <c r="C217" s="20"/>
      <c r="D217" s="21"/>
      <c r="E217" s="39"/>
      <c r="F217" s="40"/>
      <c r="G217" s="21"/>
      <c r="H217" s="40"/>
      <c r="I217" s="34"/>
      <c r="J217" s="22">
        <f t="shared" si="14"/>
        <v>0</v>
      </c>
      <c r="K217" s="40"/>
      <c r="L217" s="43">
        <f t="shared" si="15"/>
        <v>0</v>
      </c>
      <c r="M217" s="41"/>
      <c r="N217" s="42"/>
    </row>
    <row r="218" spans="2:14">
      <c r="B218" s="34"/>
      <c r="C218" s="20"/>
      <c r="D218" s="40"/>
      <c r="E218" s="39"/>
      <c r="F218" s="21"/>
      <c r="G218" s="21"/>
      <c r="H218" s="40"/>
      <c r="I218" s="34"/>
      <c r="J218" s="22">
        <f t="shared" si="14"/>
        <v>0</v>
      </c>
      <c r="K218" s="40"/>
      <c r="L218" s="43">
        <f t="shared" si="15"/>
        <v>0</v>
      </c>
      <c r="M218" s="41"/>
      <c r="N218" s="42"/>
    </row>
    <row r="219" spans="2:14">
      <c r="B219" s="34"/>
      <c r="C219" s="20"/>
      <c r="D219" s="21"/>
      <c r="E219" s="38"/>
      <c r="F219" s="21"/>
      <c r="G219" s="21"/>
      <c r="H219" s="21"/>
      <c r="I219" s="34"/>
      <c r="J219" s="22">
        <f t="shared" si="14"/>
        <v>0</v>
      </c>
      <c r="K219" s="22"/>
      <c r="L219" s="43">
        <f t="shared" si="15"/>
        <v>0</v>
      </c>
      <c r="M219" s="25"/>
      <c r="N219" s="31"/>
    </row>
    <row r="220" spans="2:14">
      <c r="B220" s="34"/>
      <c r="C220" s="20"/>
      <c r="D220" s="21"/>
      <c r="E220" s="38"/>
      <c r="F220" s="21"/>
      <c r="G220" s="21"/>
      <c r="H220" s="21"/>
      <c r="I220" s="34"/>
      <c r="J220" s="22">
        <f t="shared" si="14"/>
        <v>0</v>
      </c>
      <c r="K220" s="22"/>
      <c r="L220" s="43">
        <f t="shared" si="15"/>
        <v>0</v>
      </c>
      <c r="M220" s="25"/>
      <c r="N220" s="31"/>
    </row>
    <row r="221" spans="2:14">
      <c r="B221" s="34"/>
      <c r="C221" s="20"/>
      <c r="D221" s="21"/>
      <c r="E221" s="38"/>
      <c r="F221" s="21"/>
      <c r="G221" s="21"/>
      <c r="H221" s="21"/>
      <c r="I221" s="34"/>
      <c r="J221" s="22">
        <f t="shared" si="14"/>
        <v>0</v>
      </c>
      <c r="K221" s="22"/>
      <c r="L221" s="43">
        <f t="shared" si="15"/>
        <v>0</v>
      </c>
      <c r="M221" s="25"/>
      <c r="N221" s="31"/>
    </row>
    <row r="222" spans="2:14">
      <c r="B222" s="34"/>
      <c r="C222" s="20"/>
      <c r="D222" s="21"/>
      <c r="E222" s="38"/>
      <c r="F222" s="21"/>
      <c r="G222" s="21"/>
      <c r="H222" s="21"/>
      <c r="I222" s="34"/>
      <c r="J222" s="22">
        <f t="shared" si="14"/>
        <v>0</v>
      </c>
      <c r="K222" s="22"/>
      <c r="L222" s="43">
        <f t="shared" si="15"/>
        <v>0</v>
      </c>
      <c r="M222" s="25"/>
      <c r="N222" s="24"/>
    </row>
    <row r="223" spans="2:14">
      <c r="B223" s="34"/>
      <c r="C223" s="20"/>
      <c r="D223" s="21"/>
      <c r="E223" s="38"/>
      <c r="F223" s="21"/>
      <c r="G223" s="21"/>
      <c r="H223" s="21"/>
      <c r="I223" s="34"/>
      <c r="J223" s="22">
        <f t="shared" si="14"/>
        <v>0</v>
      </c>
      <c r="K223" s="22"/>
      <c r="L223" s="43">
        <f t="shared" si="15"/>
        <v>0</v>
      </c>
      <c r="M223" s="25"/>
      <c r="N223" s="42"/>
    </row>
    <row r="224" spans="2:14">
      <c r="B224" s="34"/>
      <c r="C224" s="20"/>
      <c r="D224" s="21"/>
      <c r="E224" s="38"/>
      <c r="F224" s="21"/>
      <c r="G224" s="21"/>
      <c r="H224" s="21"/>
      <c r="I224" s="34"/>
      <c r="J224" s="22">
        <f t="shared" si="14"/>
        <v>0</v>
      </c>
      <c r="K224" s="22"/>
      <c r="L224" s="43">
        <f t="shared" si="15"/>
        <v>0</v>
      </c>
      <c r="M224" s="25"/>
      <c r="N224" s="42"/>
    </row>
    <row r="225" spans="2:14">
      <c r="B225" s="34"/>
      <c r="C225" s="20"/>
      <c r="D225" s="21"/>
      <c r="E225" s="38"/>
      <c r="F225" s="21"/>
      <c r="G225" s="21"/>
      <c r="H225" s="21"/>
      <c r="I225" s="34"/>
      <c r="J225" s="22">
        <f t="shared" si="14"/>
        <v>0</v>
      </c>
      <c r="K225" s="22"/>
      <c r="L225" s="43">
        <f t="shared" si="15"/>
        <v>0</v>
      </c>
      <c r="M225" s="25"/>
      <c r="N225" s="31"/>
    </row>
    <row r="226" spans="2:14">
      <c r="B226" s="34"/>
      <c r="C226" s="20"/>
      <c r="D226" s="21"/>
      <c r="E226" s="38"/>
      <c r="F226" s="21"/>
      <c r="G226" s="21"/>
      <c r="H226" s="21"/>
      <c r="I226" s="34"/>
      <c r="J226" s="22">
        <f t="shared" si="14"/>
        <v>0</v>
      </c>
      <c r="K226" s="22"/>
      <c r="L226" s="43">
        <f t="shared" si="15"/>
        <v>0</v>
      </c>
      <c r="M226" s="25"/>
      <c r="N226" s="31"/>
    </row>
    <row r="227" spans="2:14">
      <c r="B227" s="34"/>
      <c r="C227" s="20"/>
      <c r="D227" s="21"/>
      <c r="E227" s="38"/>
      <c r="F227" s="21"/>
      <c r="G227" s="21"/>
      <c r="H227" s="21"/>
      <c r="I227" s="21"/>
      <c r="J227" s="22">
        <f t="shared" si="14"/>
        <v>0</v>
      </c>
      <c r="K227" s="22"/>
      <c r="L227" s="43">
        <f t="shared" si="15"/>
        <v>0</v>
      </c>
      <c r="M227" s="25"/>
      <c r="N227" s="31"/>
    </row>
    <row r="228" spans="2:14">
      <c r="B228" s="34"/>
      <c r="C228" s="20"/>
      <c r="D228" s="21"/>
      <c r="E228" s="38"/>
      <c r="F228" s="21"/>
      <c r="G228" s="21"/>
      <c r="H228" s="21"/>
      <c r="I228" s="21"/>
      <c r="J228" s="22">
        <f t="shared" si="14"/>
        <v>0</v>
      </c>
      <c r="K228" s="22"/>
      <c r="L228" s="43">
        <f t="shared" si="15"/>
        <v>0</v>
      </c>
      <c r="M228" s="25"/>
      <c r="N228" s="24"/>
    </row>
    <row r="229" spans="2:14">
      <c r="B229" s="34"/>
      <c r="C229" s="20"/>
      <c r="D229" s="21"/>
      <c r="E229" s="38"/>
      <c r="F229" s="21"/>
      <c r="G229" s="21"/>
      <c r="H229" s="21"/>
      <c r="I229" s="21"/>
      <c r="J229" s="22">
        <f t="shared" si="14"/>
        <v>0</v>
      </c>
      <c r="K229" s="22"/>
      <c r="L229" s="43">
        <f t="shared" si="15"/>
        <v>0</v>
      </c>
      <c r="M229" s="25"/>
      <c r="N229" s="24"/>
    </row>
    <row r="230" spans="2:14">
      <c r="B230" s="34"/>
      <c r="C230" s="20"/>
      <c r="D230" s="21"/>
      <c r="E230" s="38"/>
      <c r="F230" s="21"/>
      <c r="G230" s="21"/>
      <c r="H230" s="21"/>
      <c r="I230" s="21"/>
      <c r="J230" s="22">
        <f t="shared" si="14"/>
        <v>0</v>
      </c>
      <c r="K230" s="22"/>
      <c r="L230" s="43">
        <f t="shared" si="15"/>
        <v>0</v>
      </c>
      <c r="M230" s="25"/>
      <c r="N230" s="24"/>
    </row>
    <row r="231" spans="2:14">
      <c r="B231" s="34"/>
      <c r="C231" s="20"/>
      <c r="D231" s="21"/>
      <c r="E231" s="38"/>
      <c r="F231" s="21"/>
      <c r="G231" s="21"/>
      <c r="H231" s="21"/>
      <c r="I231" s="21"/>
      <c r="J231" s="22">
        <f t="shared" si="14"/>
        <v>0</v>
      </c>
      <c r="K231" s="22"/>
      <c r="L231" s="43">
        <f t="shared" si="15"/>
        <v>0</v>
      </c>
      <c r="M231" s="25"/>
      <c r="N231" s="31"/>
    </row>
    <row r="232" spans="2:14">
      <c r="B232" s="34"/>
      <c r="C232" s="20"/>
      <c r="D232" s="21"/>
      <c r="E232" s="38"/>
      <c r="F232" s="21"/>
      <c r="G232" s="21"/>
      <c r="H232" s="21"/>
      <c r="I232" s="21"/>
      <c r="J232" s="22">
        <f t="shared" ref="J232:J267" si="16">E232</f>
        <v>0</v>
      </c>
      <c r="K232" s="22"/>
      <c r="L232" s="43">
        <f t="shared" ref="L232:L268" si="17">J232-K232</f>
        <v>0</v>
      </c>
      <c r="M232" s="25"/>
      <c r="N232" s="24"/>
    </row>
    <row r="233" spans="2:14">
      <c r="B233" s="34"/>
      <c r="C233" s="20"/>
      <c r="D233" s="21"/>
      <c r="E233" s="38"/>
      <c r="F233" s="21"/>
      <c r="G233" s="21"/>
      <c r="H233" s="21"/>
      <c r="I233" s="21"/>
      <c r="J233" s="22">
        <f t="shared" si="16"/>
        <v>0</v>
      </c>
      <c r="K233" s="22"/>
      <c r="L233" s="43">
        <f t="shared" si="17"/>
        <v>0</v>
      </c>
      <c r="M233" s="25"/>
      <c r="N233" s="24"/>
    </row>
    <row r="234" spans="2:14">
      <c r="B234" s="34"/>
      <c r="C234" s="20"/>
      <c r="D234" s="21"/>
      <c r="E234" s="38"/>
      <c r="F234" s="21"/>
      <c r="G234" s="21"/>
      <c r="H234" s="21"/>
      <c r="I234" s="21"/>
      <c r="J234" s="22">
        <f t="shared" si="16"/>
        <v>0</v>
      </c>
      <c r="K234" s="22"/>
      <c r="L234" s="43">
        <f t="shared" si="17"/>
        <v>0</v>
      </c>
      <c r="M234" s="25"/>
      <c r="N234" s="24"/>
    </row>
    <row r="235" spans="2:14">
      <c r="B235" s="34"/>
      <c r="C235" s="20"/>
      <c r="D235" s="21"/>
      <c r="E235" s="38"/>
      <c r="F235" s="21"/>
      <c r="G235" s="21"/>
      <c r="H235" s="21"/>
      <c r="I235" s="21"/>
      <c r="J235" s="22">
        <f t="shared" si="16"/>
        <v>0</v>
      </c>
      <c r="K235" s="22"/>
      <c r="L235" s="43">
        <f t="shared" si="17"/>
        <v>0</v>
      </c>
      <c r="M235" s="25"/>
      <c r="N235" s="24"/>
    </row>
    <row r="236" spans="2:14">
      <c r="B236" s="34"/>
      <c r="C236" s="20"/>
      <c r="D236" s="21"/>
      <c r="E236" s="38"/>
      <c r="F236" s="21"/>
      <c r="G236" s="21"/>
      <c r="H236" s="21"/>
      <c r="I236" s="21"/>
      <c r="J236" s="22">
        <f t="shared" si="16"/>
        <v>0</v>
      </c>
      <c r="K236" s="22"/>
      <c r="L236" s="43">
        <f t="shared" si="17"/>
        <v>0</v>
      </c>
      <c r="M236" s="25"/>
      <c r="N236" s="24"/>
    </row>
    <row r="237" spans="2:14">
      <c r="B237" s="34"/>
      <c r="C237" s="20"/>
      <c r="D237" s="21"/>
      <c r="E237" s="38"/>
      <c r="F237" s="21"/>
      <c r="G237" s="21"/>
      <c r="H237" s="21"/>
      <c r="I237" s="21"/>
      <c r="J237" s="22">
        <f t="shared" si="16"/>
        <v>0</v>
      </c>
      <c r="K237" s="22"/>
      <c r="L237" s="43">
        <f t="shared" si="17"/>
        <v>0</v>
      </c>
      <c r="M237" s="25"/>
      <c r="N237" s="24"/>
    </row>
    <row r="238" spans="2:14">
      <c r="B238" s="34"/>
      <c r="C238" s="20"/>
      <c r="D238" s="21"/>
      <c r="E238" s="38"/>
      <c r="F238" s="21"/>
      <c r="G238" s="21"/>
      <c r="H238" s="21"/>
      <c r="I238" s="21"/>
      <c r="J238" s="22">
        <f t="shared" si="16"/>
        <v>0</v>
      </c>
      <c r="K238" s="22"/>
      <c r="L238" s="43">
        <f t="shared" si="17"/>
        <v>0</v>
      </c>
      <c r="M238" s="25"/>
      <c r="N238" s="24"/>
    </row>
    <row r="239" spans="2:14">
      <c r="B239" s="34"/>
      <c r="C239" s="20"/>
      <c r="D239" s="21"/>
      <c r="E239" s="38"/>
      <c r="F239" s="21"/>
      <c r="G239" s="21"/>
      <c r="H239" s="21"/>
      <c r="I239" s="21"/>
      <c r="J239" s="22">
        <f t="shared" si="16"/>
        <v>0</v>
      </c>
      <c r="K239" s="22"/>
      <c r="L239" s="43">
        <f t="shared" si="17"/>
        <v>0</v>
      </c>
      <c r="M239" s="25"/>
      <c r="N239" s="24"/>
    </row>
    <row r="240" spans="2:14">
      <c r="B240" s="34"/>
      <c r="C240" s="20"/>
      <c r="D240" s="21"/>
      <c r="E240" s="38"/>
      <c r="F240" s="21"/>
      <c r="G240" s="21"/>
      <c r="H240" s="21"/>
      <c r="I240" s="21"/>
      <c r="J240" s="22">
        <f t="shared" si="16"/>
        <v>0</v>
      </c>
      <c r="K240" s="22"/>
      <c r="L240" s="43">
        <f t="shared" si="17"/>
        <v>0</v>
      </c>
      <c r="M240" s="25"/>
      <c r="N240" s="24"/>
    </row>
    <row r="241" spans="2:14">
      <c r="B241" s="34"/>
      <c r="C241" s="20"/>
      <c r="D241" s="21"/>
      <c r="E241" s="38"/>
      <c r="F241" s="21"/>
      <c r="G241" s="21"/>
      <c r="H241" s="21"/>
      <c r="I241" s="21"/>
      <c r="J241" s="22">
        <f t="shared" si="16"/>
        <v>0</v>
      </c>
      <c r="K241" s="22"/>
      <c r="L241" s="43">
        <f t="shared" si="17"/>
        <v>0</v>
      </c>
      <c r="M241" s="25"/>
      <c r="N241" s="24"/>
    </row>
    <row r="242" spans="2:14">
      <c r="B242" s="34"/>
      <c r="C242" s="20"/>
      <c r="D242" s="21"/>
      <c r="E242" s="38"/>
      <c r="F242" s="21"/>
      <c r="G242" s="21"/>
      <c r="H242" s="21"/>
      <c r="I242" s="21"/>
      <c r="J242" s="22">
        <f t="shared" si="16"/>
        <v>0</v>
      </c>
      <c r="K242" s="22"/>
      <c r="L242" s="43">
        <f t="shared" si="17"/>
        <v>0</v>
      </c>
      <c r="M242" s="25"/>
      <c r="N242" s="24"/>
    </row>
    <row r="243" spans="2:14">
      <c r="B243" s="34"/>
      <c r="C243" s="20"/>
      <c r="D243" s="21"/>
      <c r="E243" s="38"/>
      <c r="F243" s="21"/>
      <c r="G243" s="21"/>
      <c r="H243" s="21"/>
      <c r="I243" s="21"/>
      <c r="J243" s="22">
        <f t="shared" si="16"/>
        <v>0</v>
      </c>
      <c r="K243" s="22"/>
      <c r="L243" s="43">
        <f t="shared" si="17"/>
        <v>0</v>
      </c>
      <c r="M243" s="25"/>
      <c r="N243" s="24"/>
    </row>
    <row r="244" spans="2:14">
      <c r="B244" s="34"/>
      <c r="C244" s="20"/>
      <c r="D244" s="21"/>
      <c r="E244" s="38"/>
      <c r="F244" s="21"/>
      <c r="G244" s="21"/>
      <c r="H244" s="21"/>
      <c r="I244" s="21"/>
      <c r="J244" s="22">
        <f t="shared" si="16"/>
        <v>0</v>
      </c>
      <c r="K244" s="22"/>
      <c r="L244" s="43">
        <f t="shared" si="17"/>
        <v>0</v>
      </c>
      <c r="M244" s="25"/>
      <c r="N244" s="24"/>
    </row>
    <row r="245" spans="2:14">
      <c r="B245" s="34"/>
      <c r="C245" s="20"/>
      <c r="D245" s="21"/>
      <c r="E245" s="38"/>
      <c r="F245" s="21"/>
      <c r="G245" s="21"/>
      <c r="H245" s="21"/>
      <c r="I245" s="21"/>
      <c r="J245" s="22">
        <f t="shared" si="16"/>
        <v>0</v>
      </c>
      <c r="K245" s="22"/>
      <c r="L245" s="43">
        <f t="shared" si="17"/>
        <v>0</v>
      </c>
      <c r="M245" s="25"/>
      <c r="N245" s="24"/>
    </row>
    <row r="246" spans="2:14">
      <c r="B246" s="34"/>
      <c r="C246" s="20"/>
      <c r="D246" s="21"/>
      <c r="E246" s="38"/>
      <c r="F246" s="21"/>
      <c r="G246" s="21"/>
      <c r="H246" s="21"/>
      <c r="I246" s="21"/>
      <c r="J246" s="22">
        <f t="shared" si="16"/>
        <v>0</v>
      </c>
      <c r="K246" s="22"/>
      <c r="L246" s="43">
        <f t="shared" si="17"/>
        <v>0</v>
      </c>
      <c r="M246" s="25"/>
      <c r="N246" s="24"/>
    </row>
    <row r="247" spans="2:14">
      <c r="B247" s="34"/>
      <c r="C247" s="20"/>
      <c r="D247" s="21"/>
      <c r="E247" s="38"/>
      <c r="F247" s="21"/>
      <c r="G247" s="21"/>
      <c r="H247" s="21"/>
      <c r="I247" s="21"/>
      <c r="J247" s="22">
        <f t="shared" si="16"/>
        <v>0</v>
      </c>
      <c r="K247" s="22"/>
      <c r="L247" s="43">
        <f t="shared" si="17"/>
        <v>0</v>
      </c>
      <c r="M247" s="25"/>
      <c r="N247" s="24"/>
    </row>
    <row r="248" spans="2:14">
      <c r="B248" s="34"/>
      <c r="C248" s="20"/>
      <c r="D248" s="21"/>
      <c r="E248" s="38"/>
      <c r="F248" s="21"/>
      <c r="G248" s="21"/>
      <c r="H248" s="21"/>
      <c r="I248" s="21"/>
      <c r="J248" s="22">
        <f t="shared" si="16"/>
        <v>0</v>
      </c>
      <c r="K248" s="22"/>
      <c r="L248" s="43">
        <f t="shared" si="17"/>
        <v>0</v>
      </c>
      <c r="M248" s="25"/>
      <c r="N248" s="24"/>
    </row>
    <row r="249" spans="2:14">
      <c r="B249" s="34"/>
      <c r="C249" s="20"/>
      <c r="D249" s="21"/>
      <c r="E249" s="38"/>
      <c r="F249" s="21"/>
      <c r="G249" s="21"/>
      <c r="H249" s="21"/>
      <c r="I249" s="21"/>
      <c r="J249" s="22">
        <f t="shared" si="16"/>
        <v>0</v>
      </c>
      <c r="K249" s="22"/>
      <c r="L249" s="43">
        <f t="shared" si="17"/>
        <v>0</v>
      </c>
      <c r="M249" s="25"/>
      <c r="N249" s="24"/>
    </row>
    <row r="250" spans="2:14">
      <c r="B250" s="34"/>
      <c r="C250" s="20"/>
      <c r="D250" s="21"/>
      <c r="E250" s="38"/>
      <c r="F250" s="21"/>
      <c r="G250" s="21"/>
      <c r="H250" s="21"/>
      <c r="I250" s="21"/>
      <c r="J250" s="22">
        <f t="shared" si="16"/>
        <v>0</v>
      </c>
      <c r="K250" s="22"/>
      <c r="L250" s="43">
        <f t="shared" si="17"/>
        <v>0</v>
      </c>
      <c r="M250" s="25"/>
      <c r="N250" s="24"/>
    </row>
    <row r="251" spans="2:14">
      <c r="B251" s="34"/>
      <c r="C251" s="20"/>
      <c r="D251" s="21"/>
      <c r="E251" s="38"/>
      <c r="F251" s="21"/>
      <c r="G251" s="21"/>
      <c r="H251" s="21"/>
      <c r="I251" s="21"/>
      <c r="J251" s="22">
        <f t="shared" si="16"/>
        <v>0</v>
      </c>
      <c r="K251" s="22"/>
      <c r="L251" s="43">
        <f t="shared" si="17"/>
        <v>0</v>
      </c>
      <c r="M251" s="25"/>
      <c r="N251" s="24"/>
    </row>
    <row r="252" spans="2:14">
      <c r="B252" s="34"/>
      <c r="C252" s="20"/>
      <c r="D252" s="21"/>
      <c r="E252" s="38"/>
      <c r="F252" s="21"/>
      <c r="G252" s="21"/>
      <c r="H252" s="21"/>
      <c r="I252" s="21"/>
      <c r="J252" s="22">
        <f t="shared" si="16"/>
        <v>0</v>
      </c>
      <c r="K252" s="22"/>
      <c r="L252" s="43">
        <f t="shared" si="17"/>
        <v>0</v>
      </c>
      <c r="M252" s="25"/>
      <c r="N252" s="24"/>
    </row>
    <row r="253" spans="2:14">
      <c r="B253" s="34"/>
      <c r="C253" s="20"/>
      <c r="D253" s="21"/>
      <c r="E253" s="38"/>
      <c r="F253" s="21"/>
      <c r="G253" s="21"/>
      <c r="H253" s="21"/>
      <c r="I253" s="21"/>
      <c r="J253" s="22">
        <f t="shared" si="16"/>
        <v>0</v>
      </c>
      <c r="K253" s="22"/>
      <c r="L253" s="43">
        <f t="shared" si="17"/>
        <v>0</v>
      </c>
      <c r="M253" s="25"/>
      <c r="N253" s="24"/>
    </row>
    <row r="254" spans="2:14">
      <c r="B254" s="34"/>
      <c r="C254" s="20"/>
      <c r="D254" s="21"/>
      <c r="E254" s="38"/>
      <c r="F254" s="21"/>
      <c r="G254" s="21"/>
      <c r="H254" s="21"/>
      <c r="I254" s="21"/>
      <c r="J254" s="22">
        <f t="shared" si="16"/>
        <v>0</v>
      </c>
      <c r="K254" s="22"/>
      <c r="L254" s="43">
        <f t="shared" si="17"/>
        <v>0</v>
      </c>
      <c r="M254" s="25"/>
      <c r="N254" s="24"/>
    </row>
    <row r="255" spans="2:14">
      <c r="B255" s="34"/>
      <c r="C255" s="20"/>
      <c r="D255" s="21"/>
      <c r="E255" s="38"/>
      <c r="F255" s="21"/>
      <c r="G255" s="21"/>
      <c r="H255" s="21"/>
      <c r="I255" s="21"/>
      <c r="J255" s="22">
        <f t="shared" si="16"/>
        <v>0</v>
      </c>
      <c r="K255" s="22"/>
      <c r="L255" s="43">
        <f t="shared" si="17"/>
        <v>0</v>
      </c>
      <c r="M255" s="25"/>
      <c r="N255" s="24"/>
    </row>
    <row r="256" spans="2:14">
      <c r="B256" s="34"/>
      <c r="C256" s="20"/>
      <c r="D256" s="21"/>
      <c r="E256" s="38"/>
      <c r="F256" s="21"/>
      <c r="G256" s="21"/>
      <c r="H256" s="21"/>
      <c r="I256" s="21"/>
      <c r="J256" s="22">
        <f t="shared" si="16"/>
        <v>0</v>
      </c>
      <c r="K256" s="22"/>
      <c r="L256" s="43">
        <f t="shared" si="17"/>
        <v>0</v>
      </c>
      <c r="M256" s="25"/>
      <c r="N256" s="24"/>
    </row>
    <row r="257" spans="2:14">
      <c r="B257" s="34"/>
      <c r="C257" s="20"/>
      <c r="D257" s="21"/>
      <c r="E257" s="38"/>
      <c r="F257" s="21"/>
      <c r="G257" s="21"/>
      <c r="H257" s="21"/>
      <c r="I257" s="21"/>
      <c r="J257" s="22">
        <f t="shared" si="16"/>
        <v>0</v>
      </c>
      <c r="K257" s="22"/>
      <c r="L257" s="43">
        <f t="shared" si="17"/>
        <v>0</v>
      </c>
      <c r="M257" s="25"/>
      <c r="N257" s="24"/>
    </row>
    <row r="258" spans="2:14">
      <c r="B258" s="34"/>
      <c r="C258" s="20"/>
      <c r="D258" s="21"/>
      <c r="E258" s="38"/>
      <c r="F258" s="21"/>
      <c r="G258" s="21"/>
      <c r="H258" s="21"/>
      <c r="I258" s="21"/>
      <c r="J258" s="22">
        <f t="shared" si="16"/>
        <v>0</v>
      </c>
      <c r="K258" s="22"/>
      <c r="L258" s="43">
        <f t="shared" si="17"/>
        <v>0</v>
      </c>
      <c r="M258" s="25"/>
      <c r="N258" s="24"/>
    </row>
    <row r="259" spans="2:14">
      <c r="B259" s="34"/>
      <c r="C259" s="20"/>
      <c r="D259" s="21"/>
      <c r="E259" s="38"/>
      <c r="F259" s="21"/>
      <c r="G259" s="21"/>
      <c r="H259" s="21"/>
      <c r="I259" s="21"/>
      <c r="J259" s="22">
        <f t="shared" si="16"/>
        <v>0</v>
      </c>
      <c r="K259" s="22"/>
      <c r="L259" s="43">
        <f t="shared" si="17"/>
        <v>0</v>
      </c>
      <c r="M259" s="25"/>
      <c r="N259" s="24"/>
    </row>
    <row r="260" spans="2:14">
      <c r="B260" s="34"/>
      <c r="C260" s="20"/>
      <c r="D260" s="21"/>
      <c r="E260" s="38"/>
      <c r="F260" s="21"/>
      <c r="G260" s="21"/>
      <c r="H260" s="21"/>
      <c r="I260" s="21"/>
      <c r="J260" s="22">
        <f t="shared" si="16"/>
        <v>0</v>
      </c>
      <c r="K260" s="22"/>
      <c r="L260" s="43">
        <f t="shared" si="17"/>
        <v>0</v>
      </c>
      <c r="M260" s="25"/>
      <c r="N260" s="24"/>
    </row>
    <row r="261" spans="2:14">
      <c r="B261" s="34"/>
      <c r="C261" s="20"/>
      <c r="D261" s="21"/>
      <c r="E261" s="38"/>
      <c r="F261" s="21"/>
      <c r="G261" s="21"/>
      <c r="H261" s="21"/>
      <c r="I261" s="21"/>
      <c r="J261" s="22">
        <f t="shared" si="16"/>
        <v>0</v>
      </c>
      <c r="K261" s="22"/>
      <c r="L261" s="43">
        <f t="shared" si="17"/>
        <v>0</v>
      </c>
      <c r="M261" s="25"/>
      <c r="N261" s="24"/>
    </row>
    <row r="262" spans="2:14">
      <c r="B262" s="34"/>
      <c r="C262" s="20"/>
      <c r="D262" s="21"/>
      <c r="E262" s="38"/>
      <c r="F262" s="21"/>
      <c r="G262" s="21"/>
      <c r="H262" s="21"/>
      <c r="I262" s="21"/>
      <c r="J262" s="22">
        <f t="shared" si="16"/>
        <v>0</v>
      </c>
      <c r="K262" s="22"/>
      <c r="L262" s="43">
        <f t="shared" si="17"/>
        <v>0</v>
      </c>
      <c r="M262" s="25"/>
      <c r="N262" s="24"/>
    </row>
    <row r="263" spans="2:14">
      <c r="B263" s="34"/>
      <c r="C263" s="20"/>
      <c r="D263" s="21"/>
      <c r="E263" s="38"/>
      <c r="F263" s="21"/>
      <c r="G263" s="21"/>
      <c r="H263" s="21"/>
      <c r="I263" s="21"/>
      <c r="J263" s="22">
        <f t="shared" si="16"/>
        <v>0</v>
      </c>
      <c r="K263" s="22"/>
      <c r="L263" s="43">
        <f t="shared" si="17"/>
        <v>0</v>
      </c>
      <c r="M263" s="25"/>
      <c r="N263" s="24"/>
    </row>
    <row r="264" spans="2:14">
      <c r="B264" s="34"/>
      <c r="C264" s="20"/>
      <c r="D264" s="21"/>
      <c r="E264" s="38"/>
      <c r="F264" s="21"/>
      <c r="G264" s="21"/>
      <c r="H264" s="21"/>
      <c r="I264" s="21"/>
      <c r="J264" s="22">
        <f t="shared" si="16"/>
        <v>0</v>
      </c>
      <c r="K264" s="22"/>
      <c r="L264" s="43">
        <f t="shared" si="17"/>
        <v>0</v>
      </c>
      <c r="M264" s="25"/>
      <c r="N264" s="24"/>
    </row>
    <row r="265" spans="2:14">
      <c r="B265" s="34"/>
      <c r="C265" s="20"/>
      <c r="D265" s="21"/>
      <c r="E265" s="38"/>
      <c r="F265" s="21"/>
      <c r="G265" s="21"/>
      <c r="H265" s="21"/>
      <c r="I265" s="21"/>
      <c r="J265" s="22">
        <f t="shared" si="16"/>
        <v>0</v>
      </c>
      <c r="K265" s="22"/>
      <c r="L265" s="43">
        <f t="shared" si="17"/>
        <v>0</v>
      </c>
      <c r="M265" s="25"/>
      <c r="N265" s="24"/>
    </row>
    <row r="266" spans="2:14">
      <c r="B266" s="34"/>
      <c r="C266" s="20"/>
      <c r="D266" s="21"/>
      <c r="E266" s="38"/>
      <c r="F266" s="21"/>
      <c r="G266" s="21"/>
      <c r="H266" s="21"/>
      <c r="I266" s="21"/>
      <c r="J266" s="22">
        <f t="shared" si="16"/>
        <v>0</v>
      </c>
      <c r="K266" s="22"/>
      <c r="L266" s="43">
        <f t="shared" si="17"/>
        <v>0</v>
      </c>
      <c r="M266" s="25"/>
      <c r="N266" s="24"/>
    </row>
    <row r="267" spans="2:14">
      <c r="B267" s="44"/>
      <c r="C267" s="20"/>
      <c r="D267" s="21"/>
      <c r="E267" s="38"/>
      <c r="F267" s="21"/>
      <c r="G267" s="21"/>
      <c r="H267" s="21"/>
      <c r="I267" s="19"/>
      <c r="J267" s="22">
        <f t="shared" si="16"/>
        <v>0</v>
      </c>
      <c r="K267" s="22"/>
      <c r="L267" s="43">
        <f t="shared" si="17"/>
        <v>0</v>
      </c>
      <c r="M267" s="25"/>
      <c r="N267" s="24"/>
    </row>
    <row r="268" spans="2:14">
      <c r="B268" s="45"/>
      <c r="C268" s="46"/>
      <c r="D268" s="47"/>
      <c r="E268" s="48">
        <f>SUM(E8:E267)</f>
        <v>117132.01</v>
      </c>
      <c r="F268" s="45"/>
      <c r="G268" s="49"/>
      <c r="H268" s="50"/>
      <c r="I268" s="51" t="s">
        <v>383</v>
      </c>
      <c r="J268" s="52">
        <f>SUBTOTAL(9,J8:J267)</f>
        <v>115176.53</v>
      </c>
      <c r="K268" s="52">
        <f>SUBTOTAL(9,K8:K267)</f>
        <v>117568.56</v>
      </c>
      <c r="L268" s="53">
        <f t="shared" si="17"/>
        <v>-2392.02999999997</v>
      </c>
      <c r="M268" s="54"/>
      <c r="N268" s="53"/>
    </row>
    <row r="1048567" spans="2:7">
      <c r="B1048567" s="55"/>
    </row>
    <row r="1048571" spans="2:7">
      <c r="G1048571" s="23"/>
    </row>
  </sheetData>
  <autoFilter xmlns:etc="http://www.wps.cn/officeDocument/2017/etCustomData" ref="B6:N267" etc:filterBottomFollowUsedRange="0">
    <extLst/>
  </autoFilter>
  <mergeCells count="12">
    <mergeCell ref="B2:L2"/>
    <mergeCell ref="C4:D4"/>
    <mergeCell ref="G6:J6"/>
    <mergeCell ref="B6:B7"/>
    <mergeCell ref="C6:C7"/>
    <mergeCell ref="D6:D7"/>
    <mergeCell ref="E6:E7"/>
    <mergeCell ref="F6:F7"/>
    <mergeCell ref="K6:K7"/>
    <mergeCell ref="L6:L7"/>
    <mergeCell ref="M6:M7"/>
    <mergeCell ref="N6:N7"/>
  </mergeCells>
  <pageMargins left="0.7" right="0.7" top="0.75" bottom="0.75" header="0.3" footer="0.3"/>
  <pageSetup paperSize="1" orientation="portrait" horizontalDpi="360" verticalDpi="36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048574"/>
  <sheetViews>
    <sheetView tabSelected="1" topLeftCell="C71" workbookViewId="0">
      <selection activeCell="N84" sqref="N84"/>
    </sheetView>
  </sheetViews>
  <sheetFormatPr defaultColWidth="11" defaultRowHeight="15"/>
  <cols>
    <col min="1" max="1" width="3.85714285714286" customWidth="1"/>
    <col min="2" max="2" width="11" customWidth="1"/>
    <col min="3" max="3" width="6.14285714285714" customWidth="1"/>
    <col min="4" max="4" width="14.7142857142857" customWidth="1"/>
    <col min="5" max="5" width="12.5714285714286" customWidth="1"/>
    <col min="6" max="6" width="17.7142857142857" customWidth="1"/>
    <col min="8" max="8" width="12.1428571428571" customWidth="1"/>
    <col min="9" max="9" width="12.2857142857143" customWidth="1"/>
    <col min="10" max="10" width="14.2857142857143" customWidth="1"/>
    <col min="11" max="11" width="15.5714285714286" customWidth="1"/>
    <col min="12" max="12" width="11.4285714285714" customWidth="1"/>
    <col min="13" max="13" width="24.7142857142857" customWidth="1"/>
    <col min="14" max="14" width="18" customWidth="1"/>
  </cols>
  <sheetData>
    <row r="2" ht="21" spans="2:1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5.75"/>
    <row r="4" ht="15.75" spans="2:14">
      <c r="B4" s="3" t="s">
        <v>1</v>
      </c>
      <c r="C4" s="4">
        <f ca="1">TODAY()</f>
        <v>46247</v>
      </c>
      <c r="D4" s="5"/>
      <c r="M4" t="s">
        <v>772</v>
      </c>
    </row>
    <row r="6" spans="2:14">
      <c r="B6" s="6" t="s">
        <v>2</v>
      </c>
      <c r="C6" s="6" t="s">
        <v>3</v>
      </c>
      <c r="D6" s="6" t="s">
        <v>4</v>
      </c>
      <c r="E6" s="7" t="s">
        <v>5</v>
      </c>
      <c r="F6" s="7" t="s">
        <v>6</v>
      </c>
      <c r="G6" s="8" t="s">
        <v>7</v>
      </c>
      <c r="H6" s="9"/>
      <c r="I6" s="9"/>
      <c r="J6" s="10"/>
      <c r="K6" s="11" t="s">
        <v>8</v>
      </c>
      <c r="L6" s="11" t="s">
        <v>9</v>
      </c>
      <c r="M6" s="12" t="s">
        <v>10</v>
      </c>
      <c r="N6" s="12" t="s">
        <v>11</v>
      </c>
    </row>
    <row r="7" spans="2:14">
      <c r="B7" s="13"/>
      <c r="C7" s="13"/>
      <c r="D7" s="14"/>
      <c r="E7" s="13"/>
      <c r="F7" s="13"/>
      <c r="G7" s="15" t="s">
        <v>12</v>
      </c>
      <c r="H7" s="15" t="s">
        <v>13</v>
      </c>
      <c r="I7" s="15" t="s">
        <v>2</v>
      </c>
      <c r="J7" s="16" t="s">
        <v>14</v>
      </c>
      <c r="K7" s="17"/>
      <c r="L7" s="17"/>
      <c r="M7" s="17"/>
      <c r="N7" s="18"/>
    </row>
    <row r="8" spans="2:14">
      <c r="B8" s="19">
        <v>46030</v>
      </c>
      <c r="C8" s="20" t="s">
        <v>15</v>
      </c>
      <c r="D8" s="21" t="s">
        <v>2620</v>
      </c>
      <c r="E8" s="22">
        <v>431.69</v>
      </c>
      <c r="F8" s="23" t="s">
        <v>17</v>
      </c>
      <c r="G8" s="23" t="s">
        <v>21</v>
      </c>
      <c r="H8" s="21" t="s">
        <v>2621</v>
      </c>
      <c r="I8" s="19">
        <v>46030</v>
      </c>
      <c r="J8" s="22">
        <f t="shared" ref="J8:J34" si="0">E8</f>
        <v>431.69</v>
      </c>
      <c r="K8" s="22">
        <v>431.69</v>
      </c>
      <c r="L8" s="24">
        <f t="shared" ref="L8:L35" si="1">J8-K8</f>
        <v>0</v>
      </c>
      <c r="M8" s="25"/>
      <c r="N8" s="26"/>
    </row>
    <row r="9" spans="2:14">
      <c r="B9" s="19">
        <v>46030</v>
      </c>
      <c r="C9" s="20" t="s">
        <v>15</v>
      </c>
      <c r="D9" s="21" t="s">
        <v>2622</v>
      </c>
      <c r="E9" s="27">
        <v>178.28</v>
      </c>
      <c r="F9" s="23" t="s">
        <v>29</v>
      </c>
      <c r="G9" s="23"/>
      <c r="H9" s="21" t="s">
        <v>2623</v>
      </c>
      <c r="I9" s="19">
        <v>46030</v>
      </c>
      <c r="J9" s="22">
        <f t="shared" si="0"/>
        <v>178.28</v>
      </c>
      <c r="K9" s="27">
        <v>178.28</v>
      </c>
      <c r="L9" s="24">
        <f t="shared" si="1"/>
        <v>0</v>
      </c>
      <c r="M9" s="25"/>
      <c r="N9" s="26"/>
    </row>
    <row r="10" spans="2:14">
      <c r="B10" s="19">
        <v>46030</v>
      </c>
      <c r="C10" s="20" t="s">
        <v>15</v>
      </c>
      <c r="D10" s="21" t="s">
        <v>2624</v>
      </c>
      <c r="E10" s="27">
        <v>472.64</v>
      </c>
      <c r="F10" s="23" t="s">
        <v>17</v>
      </c>
      <c r="G10" s="23" t="s">
        <v>21</v>
      </c>
      <c r="H10" s="21" t="s">
        <v>2625</v>
      </c>
      <c r="I10" s="19">
        <v>46030</v>
      </c>
      <c r="J10" s="22">
        <f t="shared" si="0"/>
        <v>472.64</v>
      </c>
      <c r="K10" s="27">
        <v>472.64</v>
      </c>
      <c r="L10" s="24">
        <f t="shared" si="1"/>
        <v>0</v>
      </c>
      <c r="M10" s="25"/>
      <c r="N10" s="26" t="s">
        <v>56</v>
      </c>
    </row>
    <row r="11" spans="2:14">
      <c r="B11" s="19">
        <v>46089</v>
      </c>
      <c r="C11" s="20" t="s">
        <v>15</v>
      </c>
      <c r="D11" s="21" t="s">
        <v>2626</v>
      </c>
      <c r="E11" s="27">
        <v>712.64</v>
      </c>
      <c r="F11" s="23" t="s">
        <v>17</v>
      </c>
      <c r="G11" s="23" t="s">
        <v>21</v>
      </c>
      <c r="H11" s="28" t="s">
        <v>2627</v>
      </c>
      <c r="I11" s="19">
        <v>46030</v>
      </c>
      <c r="J11" s="22">
        <f t="shared" si="0"/>
        <v>712.64</v>
      </c>
      <c r="K11" s="27">
        <v>712.64</v>
      </c>
      <c r="L11" s="24">
        <f t="shared" si="1"/>
        <v>0</v>
      </c>
      <c r="M11" s="25"/>
      <c r="N11" s="26"/>
    </row>
    <row r="12" spans="2:14">
      <c r="B12" s="19">
        <v>46089</v>
      </c>
      <c r="C12" s="20" t="s">
        <v>15</v>
      </c>
      <c r="D12" s="21" t="s">
        <v>2628</v>
      </c>
      <c r="E12" s="29">
        <v>170.74</v>
      </c>
      <c r="F12" s="23" t="s">
        <v>29</v>
      </c>
      <c r="G12" s="23"/>
      <c r="H12" s="21" t="s">
        <v>2629</v>
      </c>
      <c r="I12" s="19">
        <v>46089</v>
      </c>
      <c r="J12" s="22">
        <f t="shared" si="0"/>
        <v>170.74</v>
      </c>
      <c r="K12" s="29">
        <v>170.74</v>
      </c>
      <c r="L12" s="24">
        <f t="shared" si="1"/>
        <v>0</v>
      </c>
      <c r="M12" s="25"/>
      <c r="N12" s="26"/>
    </row>
    <row r="13" spans="2:14">
      <c r="B13" s="19">
        <v>46089</v>
      </c>
      <c r="C13" s="20" t="s">
        <v>15</v>
      </c>
      <c r="D13" s="21" t="s">
        <v>2630</v>
      </c>
      <c r="E13" s="22">
        <v>199.74</v>
      </c>
      <c r="F13" s="23" t="s">
        <v>17</v>
      </c>
      <c r="G13" s="23" t="s">
        <v>21</v>
      </c>
      <c r="H13" s="23" t="s">
        <v>2631</v>
      </c>
      <c r="I13" s="19">
        <v>46030</v>
      </c>
      <c r="J13" s="22">
        <f t="shared" si="0"/>
        <v>199.74</v>
      </c>
      <c r="K13" s="22">
        <v>199.74</v>
      </c>
      <c r="L13" s="24">
        <f t="shared" si="1"/>
        <v>0</v>
      </c>
      <c r="M13" s="25"/>
      <c r="N13" s="26"/>
    </row>
    <row r="14" spans="2:14">
      <c r="B14" s="19">
        <v>46089</v>
      </c>
      <c r="C14" s="20" t="s">
        <v>15</v>
      </c>
      <c r="D14" s="21" t="s">
        <v>2632</v>
      </c>
      <c r="E14" s="27">
        <v>210.22</v>
      </c>
      <c r="F14" s="23" t="s">
        <v>29</v>
      </c>
      <c r="G14" s="23"/>
      <c r="H14" s="30" t="s">
        <v>2633</v>
      </c>
      <c r="I14" s="19">
        <v>46089</v>
      </c>
      <c r="J14" s="22">
        <f t="shared" si="0"/>
        <v>210.22</v>
      </c>
      <c r="K14" s="27">
        <v>210.22</v>
      </c>
      <c r="L14" s="24">
        <f t="shared" si="1"/>
        <v>0</v>
      </c>
      <c r="M14" s="25"/>
      <c r="N14" s="26" t="s">
        <v>23</v>
      </c>
    </row>
    <row r="15" spans="2:14">
      <c r="B15" s="19">
        <v>46089</v>
      </c>
      <c r="C15" s="20" t="s">
        <v>15</v>
      </c>
      <c r="D15" s="21" t="s">
        <v>2634</v>
      </c>
      <c r="E15" s="22">
        <v>832.83</v>
      </c>
      <c r="F15" s="23" t="s">
        <v>17</v>
      </c>
      <c r="G15" s="23" t="s">
        <v>21</v>
      </c>
      <c r="H15" s="21" t="s">
        <v>2635</v>
      </c>
      <c r="I15" s="19">
        <v>46089</v>
      </c>
      <c r="J15" s="22">
        <f t="shared" si="0"/>
        <v>832.83</v>
      </c>
      <c r="K15" s="22">
        <v>832.83</v>
      </c>
      <c r="L15" s="24">
        <f t="shared" si="1"/>
        <v>0</v>
      </c>
      <c r="M15" s="25"/>
      <c r="N15" s="26" t="s">
        <v>33</v>
      </c>
    </row>
    <row r="16" spans="2:14">
      <c r="B16" s="19">
        <v>46089</v>
      </c>
      <c r="C16" s="20" t="s">
        <v>64</v>
      </c>
      <c r="D16" s="21" t="s">
        <v>2636</v>
      </c>
      <c r="E16" s="22">
        <v>163.24</v>
      </c>
      <c r="F16" s="23" t="s">
        <v>17</v>
      </c>
      <c r="G16" s="23" t="s">
        <v>21</v>
      </c>
      <c r="H16" s="21" t="s">
        <v>2637</v>
      </c>
      <c r="I16" s="19">
        <v>46089</v>
      </c>
      <c r="J16" s="22">
        <f t="shared" si="0"/>
        <v>163.24</v>
      </c>
      <c r="K16" s="22">
        <v>163.24</v>
      </c>
      <c r="L16" s="24">
        <f t="shared" si="1"/>
        <v>0</v>
      </c>
      <c r="M16" s="25"/>
      <c r="N16" s="26" t="s">
        <v>39</v>
      </c>
    </row>
    <row r="17" spans="2:14">
      <c r="B17" s="19">
        <v>46089</v>
      </c>
      <c r="C17" s="20" t="s">
        <v>15</v>
      </c>
      <c r="D17" s="21" t="s">
        <v>2638</v>
      </c>
      <c r="E17" s="22">
        <v>170.26</v>
      </c>
      <c r="F17" s="21" t="s">
        <v>17</v>
      </c>
      <c r="G17" s="23" t="s">
        <v>21</v>
      </c>
      <c r="H17" s="21" t="s">
        <v>2639</v>
      </c>
      <c r="I17" s="19">
        <v>46089</v>
      </c>
      <c r="J17" s="22">
        <f t="shared" si="0"/>
        <v>170.26</v>
      </c>
      <c r="K17" s="22">
        <v>170.26</v>
      </c>
      <c r="L17" s="24">
        <f t="shared" si="1"/>
        <v>0</v>
      </c>
      <c r="M17" s="25"/>
      <c r="N17" s="26"/>
    </row>
    <row r="18" spans="2:14">
      <c r="B18" s="19">
        <v>46089</v>
      </c>
      <c r="C18" s="20" t="s">
        <v>15</v>
      </c>
      <c r="D18" s="21" t="s">
        <v>2640</v>
      </c>
      <c r="E18" s="22">
        <v>56.3</v>
      </c>
      <c r="F18" s="23" t="s">
        <v>17</v>
      </c>
      <c r="G18" s="23" t="s">
        <v>21</v>
      </c>
      <c r="H18" s="23" t="s">
        <v>2641</v>
      </c>
      <c r="I18" s="19">
        <v>46089</v>
      </c>
      <c r="J18" s="22">
        <f t="shared" si="0"/>
        <v>56.3</v>
      </c>
      <c r="K18" s="22">
        <v>56.3</v>
      </c>
      <c r="L18" s="24">
        <f t="shared" si="1"/>
        <v>0</v>
      </c>
      <c r="M18" s="25"/>
      <c r="N18" s="26"/>
    </row>
    <row r="19" spans="2:14">
      <c r="B19" s="19">
        <v>46089</v>
      </c>
      <c r="C19" s="20" t="s">
        <v>15</v>
      </c>
      <c r="D19" s="21" t="s">
        <v>2642</v>
      </c>
      <c r="E19" s="22">
        <v>456.61</v>
      </c>
      <c r="F19" s="23" t="s">
        <v>17</v>
      </c>
      <c r="G19" s="23" t="s">
        <v>21</v>
      </c>
      <c r="H19" s="21" t="s">
        <v>2643</v>
      </c>
      <c r="I19" s="19">
        <v>46089</v>
      </c>
      <c r="J19" s="22">
        <f t="shared" si="0"/>
        <v>456.61</v>
      </c>
      <c r="K19" s="22">
        <v>456.51</v>
      </c>
      <c r="L19" s="24">
        <f t="shared" si="1"/>
        <v>0.100000000000023</v>
      </c>
      <c r="M19" s="25"/>
      <c r="N19" s="26" t="s">
        <v>56</v>
      </c>
    </row>
    <row r="20" spans="2:14">
      <c r="B20" s="19">
        <v>46120</v>
      </c>
      <c r="C20" s="20" t="s">
        <v>15</v>
      </c>
      <c r="D20" s="21" t="s">
        <v>2644</v>
      </c>
      <c r="E20" s="22">
        <v>505.98</v>
      </c>
      <c r="F20" s="21" t="s">
        <v>17</v>
      </c>
      <c r="G20" s="23" t="s">
        <v>21</v>
      </c>
      <c r="H20" s="21" t="s">
        <v>2645</v>
      </c>
      <c r="I20" s="19">
        <v>46120</v>
      </c>
      <c r="J20" s="22">
        <f t="shared" si="0"/>
        <v>505.98</v>
      </c>
      <c r="K20" s="22">
        <v>505.98</v>
      </c>
      <c r="L20" s="24">
        <f t="shared" si="1"/>
        <v>0</v>
      </c>
      <c r="M20" s="25"/>
      <c r="N20" s="26"/>
    </row>
    <row r="21" spans="2:14">
      <c r="B21" s="19">
        <v>46120</v>
      </c>
      <c r="C21" s="20" t="s">
        <v>15</v>
      </c>
      <c r="D21" s="21" t="s">
        <v>2646</v>
      </c>
      <c r="E21" s="22">
        <v>1840.2</v>
      </c>
      <c r="F21" s="21" t="s">
        <v>17</v>
      </c>
      <c r="G21" s="23" t="s">
        <v>21</v>
      </c>
      <c r="H21" s="21" t="s">
        <v>2647</v>
      </c>
      <c r="I21" s="19">
        <v>46120</v>
      </c>
      <c r="J21" s="22">
        <f t="shared" si="0"/>
        <v>1840.2</v>
      </c>
      <c r="K21" s="22">
        <v>1840.2</v>
      </c>
      <c r="L21" s="24">
        <f t="shared" si="1"/>
        <v>0</v>
      </c>
      <c r="M21" s="25"/>
      <c r="N21" s="26"/>
    </row>
    <row r="22" spans="2:14">
      <c r="B22" s="19">
        <v>46120</v>
      </c>
      <c r="C22" s="20" t="s">
        <v>15</v>
      </c>
      <c r="D22" s="21" t="s">
        <v>2648</v>
      </c>
      <c r="E22" s="22">
        <v>695.92</v>
      </c>
      <c r="F22" s="21" t="s">
        <v>17</v>
      </c>
      <c r="G22" s="23" t="s">
        <v>21</v>
      </c>
      <c r="H22" s="21" t="s">
        <v>2649</v>
      </c>
      <c r="I22" s="19">
        <v>46120</v>
      </c>
      <c r="J22" s="22">
        <f t="shared" si="0"/>
        <v>695.92</v>
      </c>
      <c r="K22" s="22">
        <v>695.92</v>
      </c>
      <c r="L22" s="24">
        <f t="shared" si="1"/>
        <v>0</v>
      </c>
      <c r="M22" s="25"/>
      <c r="N22" s="26" t="s">
        <v>33</v>
      </c>
    </row>
    <row r="23" spans="2:14">
      <c r="B23" s="19">
        <v>46120</v>
      </c>
      <c r="C23" s="20" t="s">
        <v>15</v>
      </c>
      <c r="D23" s="21" t="s">
        <v>2650</v>
      </c>
      <c r="E23" s="22">
        <v>574.95</v>
      </c>
      <c r="F23" s="21" t="s">
        <v>17</v>
      </c>
      <c r="G23" s="23" t="s">
        <v>21</v>
      </c>
      <c r="H23" s="21" t="s">
        <v>2597</v>
      </c>
      <c r="I23" s="19" t="s">
        <v>2585</v>
      </c>
      <c r="J23" s="22">
        <f t="shared" si="0"/>
        <v>574.95</v>
      </c>
      <c r="K23" s="22">
        <v>574.95</v>
      </c>
      <c r="L23" s="24">
        <f t="shared" si="1"/>
        <v>0</v>
      </c>
      <c r="M23" s="25" t="s">
        <v>2651</v>
      </c>
      <c r="N23" s="26"/>
    </row>
    <row r="24" spans="2:14">
      <c r="B24" s="19">
        <v>46120</v>
      </c>
      <c r="C24" s="20" t="s">
        <v>15</v>
      </c>
      <c r="D24" s="21" t="s">
        <v>2652</v>
      </c>
      <c r="E24" s="22">
        <v>162.52</v>
      </c>
      <c r="F24" s="21" t="s">
        <v>17</v>
      </c>
      <c r="G24" s="23" t="s">
        <v>21</v>
      </c>
      <c r="H24" s="21" t="s">
        <v>2653</v>
      </c>
      <c r="I24" s="19">
        <v>46120</v>
      </c>
      <c r="J24" s="22">
        <f t="shared" si="0"/>
        <v>162.52</v>
      </c>
      <c r="K24" s="22">
        <v>162.52</v>
      </c>
      <c r="L24" s="24">
        <f t="shared" si="1"/>
        <v>0</v>
      </c>
      <c r="M24" s="25"/>
      <c r="N24" s="26" t="s">
        <v>33</v>
      </c>
    </row>
    <row r="25" spans="2:14">
      <c r="B25" s="19">
        <v>46120</v>
      </c>
      <c r="C25" s="20" t="s">
        <v>15</v>
      </c>
      <c r="D25" s="21" t="s">
        <v>2654</v>
      </c>
      <c r="E25" s="22">
        <v>606.32</v>
      </c>
      <c r="F25" s="21" t="s">
        <v>17</v>
      </c>
      <c r="G25" s="23" t="s">
        <v>21</v>
      </c>
      <c r="H25" s="23" t="s">
        <v>2655</v>
      </c>
      <c r="I25" s="19">
        <v>46120</v>
      </c>
      <c r="J25" s="22">
        <f t="shared" si="0"/>
        <v>606.32</v>
      </c>
      <c r="K25" s="22">
        <v>606.32</v>
      </c>
      <c r="L25" s="24">
        <f t="shared" si="1"/>
        <v>0</v>
      </c>
      <c r="M25" s="25"/>
      <c r="N25" s="26"/>
    </row>
    <row r="26" spans="2:14">
      <c r="B26" s="19">
        <v>46120</v>
      </c>
      <c r="C26" s="20" t="s">
        <v>15</v>
      </c>
      <c r="D26" s="21" t="s">
        <v>2656</v>
      </c>
      <c r="E26" s="22">
        <v>414.65</v>
      </c>
      <c r="F26" s="21" t="s">
        <v>17</v>
      </c>
      <c r="G26" s="23" t="s">
        <v>21</v>
      </c>
      <c r="H26" s="21" t="s">
        <v>2657</v>
      </c>
      <c r="I26" s="19">
        <v>46120</v>
      </c>
      <c r="J26" s="22">
        <f t="shared" si="0"/>
        <v>414.65</v>
      </c>
      <c r="K26" s="22">
        <v>414.65</v>
      </c>
      <c r="L26" s="24">
        <f t="shared" si="1"/>
        <v>0</v>
      </c>
      <c r="M26" s="25"/>
      <c r="N26" s="26"/>
    </row>
    <row r="27" spans="2:14">
      <c r="B27" s="19">
        <v>46120</v>
      </c>
      <c r="C27" s="20" t="s">
        <v>15</v>
      </c>
      <c r="D27" s="21" t="s">
        <v>2658</v>
      </c>
      <c r="E27" s="22">
        <v>430.24</v>
      </c>
      <c r="F27" s="21" t="s">
        <v>2094</v>
      </c>
      <c r="G27" s="23"/>
      <c r="H27" s="21"/>
      <c r="I27" s="19">
        <v>46120</v>
      </c>
      <c r="J27" s="22">
        <f t="shared" si="0"/>
        <v>430.24</v>
      </c>
      <c r="K27" s="22">
        <v>430.24</v>
      </c>
      <c r="L27" s="24">
        <f t="shared" si="1"/>
        <v>0</v>
      </c>
      <c r="M27" s="25"/>
      <c r="N27" s="26"/>
    </row>
    <row r="28" spans="2:14">
      <c r="B28" s="19">
        <v>46120</v>
      </c>
      <c r="C28" s="20" t="s">
        <v>15</v>
      </c>
      <c r="D28" s="21" t="s">
        <v>2659</v>
      </c>
      <c r="E28" s="22">
        <v>485.13</v>
      </c>
      <c r="F28" s="21" t="s">
        <v>17</v>
      </c>
      <c r="G28" s="23" t="s">
        <v>21</v>
      </c>
      <c r="H28" s="21" t="s">
        <v>2660</v>
      </c>
      <c r="I28" s="19">
        <v>46120</v>
      </c>
      <c r="J28" s="22">
        <f t="shared" si="0"/>
        <v>485.13</v>
      </c>
      <c r="K28" s="22">
        <v>485.13</v>
      </c>
      <c r="L28" s="24">
        <f t="shared" si="1"/>
        <v>0</v>
      </c>
      <c r="M28" s="25"/>
      <c r="N28" s="26"/>
    </row>
    <row r="29" spans="2:14">
      <c r="B29" s="19">
        <v>46120</v>
      </c>
      <c r="C29" s="20" t="s">
        <v>15</v>
      </c>
      <c r="D29" s="21" t="s">
        <v>2661</v>
      </c>
      <c r="E29" s="22">
        <v>323.35</v>
      </c>
      <c r="F29" s="21" t="s">
        <v>17</v>
      </c>
      <c r="G29" s="23" t="s">
        <v>21</v>
      </c>
      <c r="H29" s="21" t="s">
        <v>2662</v>
      </c>
      <c r="I29" s="19">
        <v>46120</v>
      </c>
      <c r="J29" s="22">
        <f t="shared" si="0"/>
        <v>323.35</v>
      </c>
      <c r="K29" s="22">
        <v>323.35</v>
      </c>
      <c r="L29" s="24">
        <f t="shared" si="1"/>
        <v>0</v>
      </c>
      <c r="M29" s="25"/>
      <c r="N29" s="26" t="s">
        <v>33</v>
      </c>
    </row>
    <row r="30" spans="2:14">
      <c r="B30" s="19">
        <v>46120</v>
      </c>
      <c r="C30" s="20" t="s">
        <v>15</v>
      </c>
      <c r="D30" s="21" t="s">
        <v>2663</v>
      </c>
      <c r="E30" s="22">
        <v>532.56</v>
      </c>
      <c r="F30" s="21" t="s">
        <v>17</v>
      </c>
      <c r="G30" s="23" t="s">
        <v>21</v>
      </c>
      <c r="H30" s="21" t="s">
        <v>2664</v>
      </c>
      <c r="I30" s="19">
        <v>46120</v>
      </c>
      <c r="J30" s="22">
        <f t="shared" si="0"/>
        <v>532.56</v>
      </c>
      <c r="K30" s="22">
        <v>532.56</v>
      </c>
      <c r="L30" s="24">
        <f t="shared" si="1"/>
        <v>0</v>
      </c>
      <c r="M30" s="25"/>
      <c r="N30" s="26" t="s">
        <v>56</v>
      </c>
    </row>
    <row r="31" spans="2:14">
      <c r="B31" s="19">
        <v>46150</v>
      </c>
      <c r="C31" s="20" t="s">
        <v>15</v>
      </c>
      <c r="D31" s="21" t="s">
        <v>2665</v>
      </c>
      <c r="E31" s="22">
        <v>260.39</v>
      </c>
      <c r="F31" s="21" t="s">
        <v>29</v>
      </c>
      <c r="G31" s="28"/>
      <c r="H31" s="21" t="s">
        <v>2666</v>
      </c>
      <c r="I31" s="19">
        <v>46150</v>
      </c>
      <c r="J31" s="22">
        <f t="shared" si="0"/>
        <v>260.39</v>
      </c>
      <c r="K31" s="22">
        <v>260.39</v>
      </c>
      <c r="L31" s="24">
        <f t="shared" si="1"/>
        <v>0</v>
      </c>
      <c r="M31" s="25"/>
      <c r="N31" s="26"/>
    </row>
    <row r="32" spans="2:14">
      <c r="B32" s="19">
        <v>46150</v>
      </c>
      <c r="C32" s="20" t="s">
        <v>15</v>
      </c>
      <c r="D32" s="21" t="s">
        <v>2667</v>
      </c>
      <c r="E32" s="22">
        <v>453.65</v>
      </c>
      <c r="F32" s="21" t="s">
        <v>29</v>
      </c>
      <c r="G32" s="28"/>
      <c r="H32" s="21" t="s">
        <v>2668</v>
      </c>
      <c r="I32" s="19">
        <v>46150</v>
      </c>
      <c r="J32" s="22">
        <f t="shared" si="0"/>
        <v>453.65</v>
      </c>
      <c r="K32" s="22">
        <v>453.65</v>
      </c>
      <c r="L32" s="24">
        <f t="shared" si="1"/>
        <v>0</v>
      </c>
      <c r="M32" s="25"/>
      <c r="N32" s="26"/>
    </row>
    <row r="33" spans="2:14">
      <c r="B33" s="19">
        <v>46150</v>
      </c>
      <c r="C33" s="20" t="s">
        <v>15</v>
      </c>
      <c r="D33" s="21" t="s">
        <v>2669</v>
      </c>
      <c r="E33" s="22">
        <v>91.42</v>
      </c>
      <c r="F33" s="21" t="s">
        <v>17</v>
      </c>
      <c r="G33" s="23" t="s">
        <v>21</v>
      </c>
      <c r="H33" s="21" t="s">
        <v>2597</v>
      </c>
      <c r="I33" s="19" t="s">
        <v>2585</v>
      </c>
      <c r="J33" s="22">
        <f t="shared" si="0"/>
        <v>91.42</v>
      </c>
      <c r="K33" s="22">
        <v>91.42</v>
      </c>
      <c r="L33" s="24">
        <f t="shared" si="1"/>
        <v>0</v>
      </c>
      <c r="M33" s="25"/>
      <c r="N33" s="26"/>
    </row>
    <row r="34" spans="2:14">
      <c r="B34" s="19">
        <v>46150</v>
      </c>
      <c r="C34" s="20" t="s">
        <v>15</v>
      </c>
      <c r="D34" s="21" t="s">
        <v>2670</v>
      </c>
      <c r="E34" s="22">
        <v>1815.51</v>
      </c>
      <c r="F34" s="21" t="s">
        <v>17</v>
      </c>
      <c r="G34" s="23" t="s">
        <v>21</v>
      </c>
      <c r="H34" s="21" t="s">
        <v>2671</v>
      </c>
      <c r="I34" s="19">
        <v>46150</v>
      </c>
      <c r="J34" s="22">
        <f t="shared" si="0"/>
        <v>1815.51</v>
      </c>
      <c r="K34" s="22">
        <v>1815.51</v>
      </c>
      <c r="L34" s="24">
        <f t="shared" si="1"/>
        <v>0</v>
      </c>
      <c r="M34" s="25"/>
      <c r="N34" s="26" t="s">
        <v>23</v>
      </c>
    </row>
    <row r="35" spans="2:14">
      <c r="B35" s="19">
        <v>46150</v>
      </c>
      <c r="C35" s="20" t="s">
        <v>15</v>
      </c>
      <c r="D35" s="21" t="s">
        <v>2672</v>
      </c>
      <c r="E35" s="22">
        <v>524.61</v>
      </c>
      <c r="F35" s="21" t="s">
        <v>17</v>
      </c>
      <c r="G35" s="23" t="s">
        <v>21</v>
      </c>
      <c r="H35" s="21" t="s">
        <v>2673</v>
      </c>
      <c r="I35" s="19">
        <v>46150</v>
      </c>
      <c r="J35" s="22">
        <f t="shared" ref="J35:J77" si="2">E35</f>
        <v>524.61</v>
      </c>
      <c r="K35" s="22">
        <v>524.61</v>
      </c>
      <c r="L35" s="24">
        <f t="shared" si="1"/>
        <v>0</v>
      </c>
      <c r="M35" s="25"/>
      <c r="N35" s="26" t="s">
        <v>56</v>
      </c>
    </row>
    <row r="36" spans="2:14">
      <c r="B36" s="19">
        <v>46211</v>
      </c>
      <c r="C36" s="20" t="s">
        <v>15</v>
      </c>
      <c r="D36" s="21" t="s">
        <v>2674</v>
      </c>
      <c r="E36" s="22">
        <v>48.4</v>
      </c>
      <c r="F36" s="21" t="s">
        <v>29</v>
      </c>
      <c r="G36" s="28"/>
      <c r="H36" s="21" t="s">
        <v>2675</v>
      </c>
      <c r="I36" s="19">
        <v>46211</v>
      </c>
      <c r="J36" s="22">
        <f t="shared" si="2"/>
        <v>48.4</v>
      </c>
      <c r="K36" s="22">
        <v>48.4</v>
      </c>
      <c r="L36" s="24">
        <f t="shared" ref="L35:L74" si="3">J36-K36</f>
        <v>0</v>
      </c>
      <c r="M36" s="25"/>
      <c r="N36" s="26"/>
    </row>
    <row r="37" spans="2:14">
      <c r="B37" s="19">
        <v>46211</v>
      </c>
      <c r="C37" s="20" t="s">
        <v>15</v>
      </c>
      <c r="D37" s="21" t="s">
        <v>2676</v>
      </c>
      <c r="E37" s="22">
        <v>105.97</v>
      </c>
      <c r="F37" s="21" t="s">
        <v>29</v>
      </c>
      <c r="G37" s="21"/>
      <c r="H37" s="21" t="s">
        <v>2677</v>
      </c>
      <c r="I37" s="19">
        <v>46211</v>
      </c>
      <c r="J37" s="22">
        <f t="shared" si="2"/>
        <v>105.97</v>
      </c>
      <c r="K37" s="22">
        <v>105.97</v>
      </c>
      <c r="L37" s="24">
        <f t="shared" si="3"/>
        <v>0</v>
      </c>
      <c r="M37" s="25"/>
      <c r="N37" s="26"/>
    </row>
    <row r="38" spans="2:14">
      <c r="B38" s="19">
        <v>46211</v>
      </c>
      <c r="C38" s="20" t="s">
        <v>15</v>
      </c>
      <c r="D38" s="21" t="s">
        <v>2678</v>
      </c>
      <c r="E38" s="22">
        <v>1068.97</v>
      </c>
      <c r="F38" s="21" t="s">
        <v>17</v>
      </c>
      <c r="G38" s="28" t="s">
        <v>21</v>
      </c>
      <c r="H38" s="21" t="s">
        <v>2679</v>
      </c>
      <c r="I38" s="19">
        <v>46150</v>
      </c>
      <c r="J38" s="22">
        <f t="shared" si="2"/>
        <v>1068.97</v>
      </c>
      <c r="K38" s="22">
        <v>1068.97</v>
      </c>
      <c r="L38" s="24">
        <f t="shared" si="3"/>
        <v>0</v>
      </c>
      <c r="M38" s="25"/>
      <c r="N38" s="26"/>
    </row>
    <row r="39" spans="2:14">
      <c r="B39" s="19">
        <v>46211</v>
      </c>
      <c r="C39" s="20" t="s">
        <v>15</v>
      </c>
      <c r="D39" s="21" t="s">
        <v>2680</v>
      </c>
      <c r="E39" s="22">
        <v>621.97</v>
      </c>
      <c r="F39" s="21" t="s">
        <v>17</v>
      </c>
      <c r="G39" s="28" t="s">
        <v>21</v>
      </c>
      <c r="H39" s="21" t="s">
        <v>2681</v>
      </c>
      <c r="I39" s="19">
        <v>46150</v>
      </c>
      <c r="J39" s="22">
        <f t="shared" si="2"/>
        <v>621.97</v>
      </c>
      <c r="K39" s="22">
        <v>621.97</v>
      </c>
      <c r="L39" s="24">
        <f t="shared" si="3"/>
        <v>0</v>
      </c>
      <c r="M39" s="25"/>
      <c r="N39" s="26"/>
    </row>
    <row r="40" spans="2:14">
      <c r="B40" s="19">
        <v>46211</v>
      </c>
      <c r="C40" s="20" t="s">
        <v>15</v>
      </c>
      <c r="D40" s="21" t="s">
        <v>2682</v>
      </c>
      <c r="E40" s="22">
        <v>579.21</v>
      </c>
      <c r="F40" s="21" t="s">
        <v>29</v>
      </c>
      <c r="G40" s="28"/>
      <c r="H40" s="21" t="s">
        <v>2683</v>
      </c>
      <c r="I40" s="19">
        <v>46211</v>
      </c>
      <c r="J40" s="22">
        <f t="shared" si="2"/>
        <v>579.21</v>
      </c>
      <c r="K40" s="22">
        <v>579.21</v>
      </c>
      <c r="L40" s="24">
        <f t="shared" si="3"/>
        <v>0</v>
      </c>
      <c r="M40" s="25"/>
      <c r="N40" s="26"/>
    </row>
    <row r="41" spans="2:14">
      <c r="B41" s="19">
        <v>46211</v>
      </c>
      <c r="C41" s="20" t="s">
        <v>15</v>
      </c>
      <c r="D41" s="21" t="s">
        <v>2684</v>
      </c>
      <c r="E41" s="22">
        <v>177.52</v>
      </c>
      <c r="F41" s="21" t="s">
        <v>17</v>
      </c>
      <c r="G41" s="28" t="s">
        <v>21</v>
      </c>
      <c r="H41" s="21" t="s">
        <v>2685</v>
      </c>
      <c r="I41" s="19">
        <v>46211</v>
      </c>
      <c r="J41" s="22">
        <f t="shared" si="2"/>
        <v>177.52</v>
      </c>
      <c r="K41" s="22">
        <v>177.52</v>
      </c>
      <c r="L41" s="24">
        <f t="shared" si="3"/>
        <v>0</v>
      </c>
      <c r="M41" s="25"/>
      <c r="N41" s="26"/>
    </row>
    <row r="42" spans="2:14">
      <c r="B42" s="19">
        <v>46211</v>
      </c>
      <c r="C42" s="20" t="s">
        <v>15</v>
      </c>
      <c r="D42" s="21" t="s">
        <v>2686</v>
      </c>
      <c r="E42" s="22">
        <v>612.28</v>
      </c>
      <c r="F42" s="21" t="s">
        <v>17</v>
      </c>
      <c r="G42" s="28" t="s">
        <v>21</v>
      </c>
      <c r="H42" s="21" t="s">
        <v>2687</v>
      </c>
      <c r="I42" s="19">
        <v>46211</v>
      </c>
      <c r="J42" s="22">
        <f t="shared" si="2"/>
        <v>612.28</v>
      </c>
      <c r="K42" s="22">
        <v>612.28</v>
      </c>
      <c r="L42" s="24">
        <f t="shared" si="3"/>
        <v>0</v>
      </c>
      <c r="M42" s="25"/>
      <c r="N42" s="26" t="s">
        <v>33</v>
      </c>
    </row>
    <row r="43" spans="2:14">
      <c r="B43" s="19">
        <v>46211</v>
      </c>
      <c r="C43" s="20" t="s">
        <v>15</v>
      </c>
      <c r="D43" s="21" t="s">
        <v>2688</v>
      </c>
      <c r="E43" s="22">
        <v>66.24</v>
      </c>
      <c r="F43" s="21" t="s">
        <v>17</v>
      </c>
      <c r="G43" s="28" t="s">
        <v>21</v>
      </c>
      <c r="H43" s="21" t="s">
        <v>2689</v>
      </c>
      <c r="I43" s="19">
        <v>46211</v>
      </c>
      <c r="J43" s="22">
        <f t="shared" si="2"/>
        <v>66.24</v>
      </c>
      <c r="K43" s="22">
        <v>66.24</v>
      </c>
      <c r="L43" s="24">
        <f t="shared" si="3"/>
        <v>0</v>
      </c>
      <c r="M43" s="25"/>
      <c r="N43" s="26"/>
    </row>
    <row r="44" spans="2:14">
      <c r="B44" s="19">
        <v>46211</v>
      </c>
      <c r="C44" s="20" t="s">
        <v>15</v>
      </c>
      <c r="D44" s="21" t="s">
        <v>2690</v>
      </c>
      <c r="E44" s="22">
        <v>88.73</v>
      </c>
      <c r="F44" s="21" t="s">
        <v>17</v>
      </c>
      <c r="G44" s="28" t="s">
        <v>21</v>
      </c>
      <c r="H44" s="21" t="s">
        <v>2691</v>
      </c>
      <c r="I44" s="19">
        <v>46211</v>
      </c>
      <c r="J44" s="22">
        <f t="shared" si="2"/>
        <v>88.73</v>
      </c>
      <c r="K44" s="22">
        <v>88.73</v>
      </c>
      <c r="L44" s="24">
        <f t="shared" si="3"/>
        <v>0</v>
      </c>
      <c r="M44" s="25"/>
      <c r="N44" s="26"/>
    </row>
    <row r="45" spans="2:14">
      <c r="B45" s="19">
        <v>46211</v>
      </c>
      <c r="C45" s="20" t="s">
        <v>15</v>
      </c>
      <c r="D45" s="21" t="s">
        <v>2692</v>
      </c>
      <c r="E45" s="22">
        <v>437.4</v>
      </c>
      <c r="F45" s="21" t="s">
        <v>17</v>
      </c>
      <c r="G45" s="28" t="s">
        <v>21</v>
      </c>
      <c r="H45" s="21" t="s">
        <v>2693</v>
      </c>
      <c r="I45" s="19">
        <v>46211</v>
      </c>
      <c r="J45" s="22">
        <f t="shared" si="2"/>
        <v>437.4</v>
      </c>
      <c r="K45" s="22">
        <v>437.4</v>
      </c>
      <c r="L45" s="24">
        <f t="shared" si="3"/>
        <v>0</v>
      </c>
      <c r="M45" s="25"/>
      <c r="N45" s="26"/>
    </row>
    <row r="46" spans="2:14">
      <c r="B46" s="19">
        <v>46211</v>
      </c>
      <c r="C46" s="20" t="s">
        <v>15</v>
      </c>
      <c r="D46" s="21" t="s">
        <v>2694</v>
      </c>
      <c r="E46" s="22">
        <v>1377.3</v>
      </c>
      <c r="F46" s="21" t="s">
        <v>17</v>
      </c>
      <c r="G46" s="28" t="s">
        <v>21</v>
      </c>
      <c r="H46" s="21" t="s">
        <v>2695</v>
      </c>
      <c r="I46" s="19">
        <v>46211</v>
      </c>
      <c r="J46" s="22">
        <f t="shared" si="2"/>
        <v>1377.3</v>
      </c>
      <c r="K46" s="22">
        <v>1377.3</v>
      </c>
      <c r="L46" s="24">
        <f t="shared" si="3"/>
        <v>0</v>
      </c>
      <c r="M46" s="25"/>
      <c r="N46" s="26"/>
    </row>
    <row r="47" spans="2:14">
      <c r="B47" s="19"/>
      <c r="C47" s="20"/>
      <c r="D47" s="21"/>
      <c r="E47" s="22"/>
      <c r="F47" s="21" t="s">
        <v>71</v>
      </c>
      <c r="G47" s="21"/>
      <c r="H47" s="21"/>
      <c r="I47" s="19"/>
      <c r="J47" s="22">
        <f t="shared" si="2"/>
        <v>0</v>
      </c>
      <c r="K47" s="22"/>
      <c r="L47" s="24">
        <f t="shared" si="3"/>
        <v>0</v>
      </c>
      <c r="M47" s="25"/>
      <c r="N47" s="26"/>
    </row>
    <row r="48" spans="2:14">
      <c r="B48" s="19">
        <v>46242</v>
      </c>
      <c r="C48" s="20" t="s">
        <v>15</v>
      </c>
      <c r="D48" s="21" t="s">
        <v>2696</v>
      </c>
      <c r="E48" s="22">
        <v>168.91</v>
      </c>
      <c r="F48" s="21" t="s">
        <v>17</v>
      </c>
      <c r="G48" s="28" t="s">
        <v>21</v>
      </c>
      <c r="H48" s="21" t="s">
        <v>2697</v>
      </c>
      <c r="I48" s="19">
        <v>46242</v>
      </c>
      <c r="J48" s="22">
        <f t="shared" si="2"/>
        <v>168.91</v>
      </c>
      <c r="K48" s="22">
        <v>168.91</v>
      </c>
      <c r="L48" s="24">
        <f t="shared" si="3"/>
        <v>0</v>
      </c>
      <c r="M48" s="25"/>
      <c r="N48" s="26" t="s">
        <v>63</v>
      </c>
    </row>
    <row r="49" spans="2:14">
      <c r="B49" s="19">
        <v>46242</v>
      </c>
      <c r="C49" s="20" t="s">
        <v>15</v>
      </c>
      <c r="D49" s="21" t="s">
        <v>2698</v>
      </c>
      <c r="E49" s="22">
        <v>194.78</v>
      </c>
      <c r="F49" s="21" t="s">
        <v>2094</v>
      </c>
      <c r="G49" s="21"/>
      <c r="H49" s="21"/>
      <c r="I49" s="19">
        <v>46242</v>
      </c>
      <c r="J49" s="22">
        <f t="shared" si="2"/>
        <v>194.78</v>
      </c>
      <c r="K49" s="22">
        <v>194.78</v>
      </c>
      <c r="L49" s="24">
        <f t="shared" si="3"/>
        <v>0</v>
      </c>
      <c r="M49" s="25"/>
      <c r="N49" s="26"/>
    </row>
    <row r="50" spans="2:14">
      <c r="B50" s="19">
        <v>46242</v>
      </c>
      <c r="C50" s="20" t="s">
        <v>64</v>
      </c>
      <c r="D50" s="21" t="s">
        <v>2699</v>
      </c>
      <c r="E50" s="22">
        <v>244.68</v>
      </c>
      <c r="F50" s="21" t="s">
        <v>29</v>
      </c>
      <c r="G50" s="21"/>
      <c r="H50" s="21" t="s">
        <v>2700</v>
      </c>
      <c r="I50" s="19">
        <v>46211</v>
      </c>
      <c r="J50" s="22">
        <f t="shared" si="2"/>
        <v>244.68</v>
      </c>
      <c r="K50" s="22">
        <v>244.68</v>
      </c>
      <c r="L50" s="24">
        <f t="shared" si="3"/>
        <v>0</v>
      </c>
      <c r="M50" s="25"/>
      <c r="N50" s="26"/>
    </row>
    <row r="51" spans="2:14">
      <c r="B51" s="19">
        <v>46303</v>
      </c>
      <c r="C51" s="20" t="s">
        <v>15</v>
      </c>
      <c r="D51" s="21" t="s">
        <v>2701</v>
      </c>
      <c r="E51" s="22">
        <v>1631.23</v>
      </c>
      <c r="F51" s="21" t="s">
        <v>17</v>
      </c>
      <c r="G51" s="28" t="s">
        <v>21</v>
      </c>
      <c r="H51" s="21" t="s">
        <v>2702</v>
      </c>
      <c r="I51" s="19">
        <v>46303</v>
      </c>
      <c r="J51" s="22">
        <f t="shared" si="2"/>
        <v>1631.23</v>
      </c>
      <c r="K51" s="22">
        <v>1631.23</v>
      </c>
      <c r="L51" s="24">
        <f t="shared" si="3"/>
        <v>0</v>
      </c>
      <c r="M51" s="25"/>
      <c r="N51" s="26"/>
    </row>
    <row r="52" spans="2:14">
      <c r="B52" s="19">
        <v>46334</v>
      </c>
      <c r="C52" s="20" t="s">
        <v>15</v>
      </c>
      <c r="D52" s="21" t="s">
        <v>2703</v>
      </c>
      <c r="E52" s="22">
        <v>584.34</v>
      </c>
      <c r="F52" s="21" t="s">
        <v>17</v>
      </c>
      <c r="G52" s="21" t="s">
        <v>18</v>
      </c>
      <c r="H52" s="21" t="s">
        <v>2704</v>
      </c>
      <c r="I52" s="19">
        <v>46303</v>
      </c>
      <c r="J52" s="22">
        <f t="shared" si="2"/>
        <v>584.34</v>
      </c>
      <c r="K52" s="22">
        <v>584.34</v>
      </c>
      <c r="L52" s="24">
        <f t="shared" si="3"/>
        <v>0</v>
      </c>
      <c r="M52" s="25"/>
      <c r="N52" s="26"/>
    </row>
    <row r="53" spans="2:14">
      <c r="B53" s="19">
        <v>46334</v>
      </c>
      <c r="C53" s="20" t="s">
        <v>15</v>
      </c>
      <c r="D53" s="21" t="s">
        <v>2705</v>
      </c>
      <c r="E53" s="22">
        <v>218.47</v>
      </c>
      <c r="F53" s="21" t="s">
        <v>17</v>
      </c>
      <c r="G53" s="28" t="s">
        <v>21</v>
      </c>
      <c r="H53" s="21" t="s">
        <v>2706</v>
      </c>
      <c r="I53" s="19">
        <v>46334</v>
      </c>
      <c r="J53" s="22">
        <f t="shared" si="2"/>
        <v>218.47</v>
      </c>
      <c r="K53" s="22">
        <v>218.47</v>
      </c>
      <c r="L53" s="24">
        <f t="shared" si="3"/>
        <v>0</v>
      </c>
      <c r="M53" s="25"/>
      <c r="N53" s="26"/>
    </row>
    <row r="54" spans="2:14">
      <c r="B54" s="19">
        <v>46334</v>
      </c>
      <c r="C54" s="20" t="s">
        <v>15</v>
      </c>
      <c r="D54" s="21" t="s">
        <v>2707</v>
      </c>
      <c r="E54" s="22">
        <v>105.97</v>
      </c>
      <c r="F54" s="21" t="s">
        <v>17</v>
      </c>
      <c r="G54" s="28" t="s">
        <v>21</v>
      </c>
      <c r="H54" s="21" t="s">
        <v>2708</v>
      </c>
      <c r="I54" s="19">
        <v>46334</v>
      </c>
      <c r="J54" s="22">
        <f t="shared" si="2"/>
        <v>105.97</v>
      </c>
      <c r="K54" s="22">
        <v>105.97</v>
      </c>
      <c r="L54" s="24">
        <f t="shared" si="3"/>
        <v>0</v>
      </c>
      <c r="M54" s="25"/>
      <c r="N54" s="26"/>
    </row>
    <row r="55" spans="2:14">
      <c r="B55" s="19">
        <v>46334</v>
      </c>
      <c r="C55" s="20" t="s">
        <v>15</v>
      </c>
      <c r="D55" s="21" t="s">
        <v>2709</v>
      </c>
      <c r="E55" s="22">
        <v>55.02</v>
      </c>
      <c r="F55" s="21" t="s">
        <v>17</v>
      </c>
      <c r="G55" s="28" t="s">
        <v>21</v>
      </c>
      <c r="H55" s="21" t="s">
        <v>2710</v>
      </c>
      <c r="I55" s="19">
        <v>46334</v>
      </c>
      <c r="J55" s="22">
        <f t="shared" si="2"/>
        <v>55.02</v>
      </c>
      <c r="K55" s="22">
        <v>55.02</v>
      </c>
      <c r="L55" s="24">
        <f t="shared" si="3"/>
        <v>0</v>
      </c>
      <c r="M55" s="25"/>
      <c r="N55" s="26" t="s">
        <v>33</v>
      </c>
    </row>
    <row r="56" spans="2:14">
      <c r="B56" s="19">
        <v>46334</v>
      </c>
      <c r="C56" s="20" t="s">
        <v>15</v>
      </c>
      <c r="D56" s="21" t="s">
        <v>2711</v>
      </c>
      <c r="E56" s="22">
        <v>222.11</v>
      </c>
      <c r="F56" s="21" t="s">
        <v>17</v>
      </c>
      <c r="G56" s="28" t="s">
        <v>21</v>
      </c>
      <c r="H56" s="21" t="s">
        <v>2712</v>
      </c>
      <c r="I56" s="19">
        <v>46334</v>
      </c>
      <c r="J56" s="22">
        <f t="shared" si="2"/>
        <v>222.11</v>
      </c>
      <c r="K56" s="22">
        <v>222.11</v>
      </c>
      <c r="L56" s="24">
        <f t="shared" si="3"/>
        <v>0</v>
      </c>
      <c r="M56" s="25"/>
      <c r="N56" s="26" t="s">
        <v>224</v>
      </c>
    </row>
    <row r="57" spans="2:14">
      <c r="B57" s="19">
        <v>46334</v>
      </c>
      <c r="C57" s="20" t="s">
        <v>15</v>
      </c>
      <c r="D57" s="21" t="s">
        <v>2713</v>
      </c>
      <c r="E57" s="22">
        <v>770.54</v>
      </c>
      <c r="F57" s="21" t="s">
        <v>29</v>
      </c>
      <c r="G57" s="21"/>
      <c r="H57" s="21" t="s">
        <v>2714</v>
      </c>
      <c r="I57" s="19">
        <v>46334</v>
      </c>
      <c r="J57" s="22">
        <f t="shared" si="2"/>
        <v>770.54</v>
      </c>
      <c r="K57" s="22">
        <v>770.54</v>
      </c>
      <c r="L57" s="24">
        <f t="shared" si="3"/>
        <v>0</v>
      </c>
      <c r="M57" s="25"/>
      <c r="N57" s="26" t="s">
        <v>944</v>
      </c>
    </row>
    <row r="58" spans="2:14">
      <c r="B58" s="19">
        <v>46334</v>
      </c>
      <c r="C58" s="20" t="s">
        <v>15</v>
      </c>
      <c r="D58" s="21" t="s">
        <v>2715</v>
      </c>
      <c r="E58" s="22">
        <v>99.5</v>
      </c>
      <c r="F58" s="21" t="s">
        <v>17</v>
      </c>
      <c r="G58" s="28" t="s">
        <v>21</v>
      </c>
      <c r="H58" s="21" t="s">
        <v>2716</v>
      </c>
      <c r="I58" s="19">
        <v>46334</v>
      </c>
      <c r="J58" s="22">
        <f t="shared" si="2"/>
        <v>99.5</v>
      </c>
      <c r="K58" s="22">
        <v>99.5</v>
      </c>
      <c r="L58" s="24">
        <f t="shared" si="3"/>
        <v>0</v>
      </c>
      <c r="M58" s="25"/>
      <c r="N58" s="26" t="s">
        <v>33</v>
      </c>
    </row>
    <row r="59" spans="2:14">
      <c r="B59" s="19">
        <v>46334</v>
      </c>
      <c r="C59" s="20" t="s">
        <v>15</v>
      </c>
      <c r="D59" s="21" t="s">
        <v>2717</v>
      </c>
      <c r="E59" s="22">
        <v>186.52</v>
      </c>
      <c r="F59" s="21" t="s">
        <v>17</v>
      </c>
      <c r="G59" s="28" t="s">
        <v>21</v>
      </c>
      <c r="H59" s="21" t="s">
        <v>2718</v>
      </c>
      <c r="I59" s="19">
        <v>46334</v>
      </c>
      <c r="J59" s="22">
        <f t="shared" si="2"/>
        <v>186.52</v>
      </c>
      <c r="K59" s="22">
        <v>186.52</v>
      </c>
      <c r="L59" s="24">
        <f t="shared" si="3"/>
        <v>0</v>
      </c>
      <c r="M59" s="25"/>
      <c r="N59" s="26"/>
    </row>
    <row r="60" spans="2:14">
      <c r="B60" s="19">
        <v>46334</v>
      </c>
      <c r="C60" s="20" t="s">
        <v>15</v>
      </c>
      <c r="D60" s="21" t="s">
        <v>2719</v>
      </c>
      <c r="E60" s="22">
        <v>386.57</v>
      </c>
      <c r="F60" s="21" t="s">
        <v>17</v>
      </c>
      <c r="G60" s="28" t="s">
        <v>21</v>
      </c>
      <c r="H60" s="21" t="s">
        <v>2720</v>
      </c>
      <c r="I60" s="19">
        <v>46334</v>
      </c>
      <c r="J60" s="22">
        <f t="shared" si="2"/>
        <v>386.57</v>
      </c>
      <c r="K60" s="22">
        <v>386.57</v>
      </c>
      <c r="L60" s="24">
        <f t="shared" si="3"/>
        <v>0</v>
      </c>
      <c r="M60" s="25"/>
      <c r="N60" s="26" t="s">
        <v>33</v>
      </c>
    </row>
    <row r="61" spans="2:14">
      <c r="B61" s="19">
        <v>46334</v>
      </c>
      <c r="C61" s="20" t="s">
        <v>64</v>
      </c>
      <c r="D61" s="21" t="s">
        <v>2721</v>
      </c>
      <c r="E61" s="22">
        <v>554.57</v>
      </c>
      <c r="F61" s="30" t="s">
        <v>29</v>
      </c>
      <c r="G61" s="23"/>
      <c r="H61" s="21" t="s">
        <v>2722</v>
      </c>
      <c r="I61" s="19">
        <v>46334</v>
      </c>
      <c r="J61" s="22">
        <f t="shared" si="2"/>
        <v>554.57</v>
      </c>
      <c r="K61" s="22">
        <v>554.57</v>
      </c>
      <c r="L61" s="24">
        <f t="shared" si="3"/>
        <v>0</v>
      </c>
      <c r="M61" s="25"/>
      <c r="N61" s="26"/>
    </row>
    <row r="62" spans="2:14">
      <c r="B62" s="19">
        <v>46334</v>
      </c>
      <c r="C62" s="20" t="s">
        <v>15</v>
      </c>
      <c r="D62" s="21" t="s">
        <v>2723</v>
      </c>
      <c r="E62" s="22">
        <v>228.46</v>
      </c>
      <c r="F62" s="30" t="s">
        <v>2094</v>
      </c>
      <c r="G62" s="28"/>
      <c r="H62" s="21"/>
      <c r="I62" s="19">
        <v>46334</v>
      </c>
      <c r="J62" s="22">
        <f t="shared" si="2"/>
        <v>228.46</v>
      </c>
      <c r="K62" s="22">
        <v>228.46</v>
      </c>
      <c r="L62" s="24">
        <f t="shared" si="3"/>
        <v>0</v>
      </c>
      <c r="M62" s="25"/>
      <c r="N62" s="26" t="s">
        <v>366</v>
      </c>
    </row>
    <row r="63" spans="2:14">
      <c r="B63" s="19">
        <v>46364</v>
      </c>
      <c r="C63" s="20" t="s">
        <v>15</v>
      </c>
      <c r="D63" s="21" t="s">
        <v>2724</v>
      </c>
      <c r="E63" s="22">
        <v>1904.4</v>
      </c>
      <c r="F63" s="30" t="s">
        <v>17</v>
      </c>
      <c r="G63" s="28" t="s">
        <v>21</v>
      </c>
      <c r="H63" s="21" t="s">
        <v>2725</v>
      </c>
      <c r="I63" s="19">
        <v>46364</v>
      </c>
      <c r="J63" s="22">
        <f t="shared" si="2"/>
        <v>1904.4</v>
      </c>
      <c r="K63" s="22">
        <v>1904.4</v>
      </c>
      <c r="L63" s="24">
        <f t="shared" si="3"/>
        <v>0</v>
      </c>
      <c r="M63" s="25"/>
      <c r="N63" s="26"/>
    </row>
    <row r="64" spans="2:14">
      <c r="B64" s="19">
        <v>46364</v>
      </c>
      <c r="C64" s="20" t="s">
        <v>15</v>
      </c>
      <c r="D64" s="21" t="s">
        <v>2726</v>
      </c>
      <c r="E64" s="22">
        <v>88.06</v>
      </c>
      <c r="F64" s="21" t="s">
        <v>17</v>
      </c>
      <c r="G64" s="28" t="s">
        <v>21</v>
      </c>
      <c r="H64" s="21" t="s">
        <v>2727</v>
      </c>
      <c r="I64" s="19">
        <v>46364</v>
      </c>
      <c r="J64" s="22">
        <f t="shared" si="2"/>
        <v>88.06</v>
      </c>
      <c r="K64" s="22">
        <v>88.06</v>
      </c>
      <c r="L64" s="24">
        <f t="shared" si="3"/>
        <v>0</v>
      </c>
      <c r="M64" s="25"/>
      <c r="N64" s="26"/>
    </row>
    <row r="65" spans="2:14">
      <c r="B65" s="19">
        <v>46364</v>
      </c>
      <c r="C65" s="20" t="s">
        <v>15</v>
      </c>
      <c r="D65" s="21" t="s">
        <v>2728</v>
      </c>
      <c r="E65" s="22">
        <v>207.26</v>
      </c>
      <c r="F65" s="21" t="s">
        <v>29</v>
      </c>
      <c r="G65" s="23"/>
      <c r="H65" s="21" t="s">
        <v>2729</v>
      </c>
      <c r="I65" s="19">
        <v>46364</v>
      </c>
      <c r="J65" s="22">
        <f t="shared" si="2"/>
        <v>207.26</v>
      </c>
      <c r="K65" s="22">
        <v>207.26</v>
      </c>
      <c r="L65" s="24">
        <f t="shared" si="3"/>
        <v>0</v>
      </c>
      <c r="M65" s="25"/>
      <c r="N65" s="26" t="s">
        <v>39</v>
      </c>
    </row>
    <row r="66" spans="2:14">
      <c r="B66" s="19">
        <v>46364</v>
      </c>
      <c r="C66" s="20" t="s">
        <v>15</v>
      </c>
      <c r="D66" s="21" t="s">
        <v>2730</v>
      </c>
      <c r="E66" s="22">
        <v>417.75</v>
      </c>
      <c r="F66" s="21" t="s">
        <v>17</v>
      </c>
      <c r="G66" s="28" t="s">
        <v>21</v>
      </c>
      <c r="H66" s="21" t="s">
        <v>2731</v>
      </c>
      <c r="I66" s="19">
        <v>46364</v>
      </c>
      <c r="J66" s="22">
        <f t="shared" si="2"/>
        <v>417.75</v>
      </c>
      <c r="K66" s="22">
        <v>417.75</v>
      </c>
      <c r="L66" s="24">
        <f t="shared" si="3"/>
        <v>0</v>
      </c>
      <c r="M66" s="25"/>
      <c r="N66" s="26" t="s">
        <v>60</v>
      </c>
    </row>
    <row r="67" spans="2:14">
      <c r="B67" s="19">
        <v>46364</v>
      </c>
      <c r="C67" s="20" t="s">
        <v>15</v>
      </c>
      <c r="D67" s="21" t="s">
        <v>2732</v>
      </c>
      <c r="E67" s="22">
        <v>186.91</v>
      </c>
      <c r="F67" s="21" t="s">
        <v>17</v>
      </c>
      <c r="G67" s="28" t="s">
        <v>18</v>
      </c>
      <c r="H67" s="21" t="s">
        <v>2733</v>
      </c>
      <c r="I67" s="19">
        <v>46364</v>
      </c>
      <c r="J67" s="22">
        <f t="shared" si="2"/>
        <v>186.91</v>
      </c>
      <c r="K67" s="22">
        <v>186.91</v>
      </c>
      <c r="L67" s="24">
        <f t="shared" si="3"/>
        <v>0</v>
      </c>
      <c r="M67" s="25"/>
      <c r="N67" s="26" t="s">
        <v>39</v>
      </c>
    </row>
    <row r="68" spans="2:14">
      <c r="B68" s="19">
        <v>46364</v>
      </c>
      <c r="C68" s="20" t="s">
        <v>15</v>
      </c>
      <c r="D68" s="21" t="s">
        <v>2734</v>
      </c>
      <c r="E68" s="22">
        <v>2089.61</v>
      </c>
      <c r="F68" s="21" t="s">
        <v>17</v>
      </c>
      <c r="G68" s="28" t="s">
        <v>21</v>
      </c>
      <c r="H68" s="21" t="s">
        <v>2735</v>
      </c>
      <c r="I68" s="19">
        <v>46364</v>
      </c>
      <c r="J68" s="22">
        <f t="shared" si="2"/>
        <v>2089.61</v>
      </c>
      <c r="K68" s="22">
        <v>2089.61</v>
      </c>
      <c r="L68" s="24">
        <f t="shared" si="3"/>
        <v>0</v>
      </c>
      <c r="M68" s="25"/>
      <c r="N68" s="26" t="s">
        <v>23</v>
      </c>
    </row>
    <row r="69" spans="2:14">
      <c r="B69" s="19">
        <v>46364</v>
      </c>
      <c r="C69" s="20" t="s">
        <v>15</v>
      </c>
      <c r="D69" s="21" t="s">
        <v>2736</v>
      </c>
      <c r="E69" s="22">
        <v>198.68</v>
      </c>
      <c r="F69" s="21" t="s">
        <v>17</v>
      </c>
      <c r="G69" s="28" t="s">
        <v>21</v>
      </c>
      <c r="H69" s="21" t="s">
        <v>2737</v>
      </c>
      <c r="I69" s="19">
        <v>46364</v>
      </c>
      <c r="J69" s="22">
        <f t="shared" si="2"/>
        <v>198.68</v>
      </c>
      <c r="K69" s="22">
        <v>198.68</v>
      </c>
      <c r="L69" s="24">
        <f t="shared" si="3"/>
        <v>0</v>
      </c>
      <c r="M69" s="25"/>
      <c r="N69" s="26"/>
    </row>
    <row r="70" spans="2:14">
      <c r="B70" s="19">
        <v>46364</v>
      </c>
      <c r="C70" s="20" t="s">
        <v>15</v>
      </c>
      <c r="D70" s="21" t="s">
        <v>2738</v>
      </c>
      <c r="E70" s="22">
        <v>796.74</v>
      </c>
      <c r="F70" s="21" t="s">
        <v>17</v>
      </c>
      <c r="G70" s="23" t="s">
        <v>21</v>
      </c>
      <c r="H70" s="21"/>
      <c r="I70" s="19">
        <v>46364</v>
      </c>
      <c r="J70" s="22">
        <v>772.84</v>
      </c>
      <c r="K70" s="22">
        <v>796.74</v>
      </c>
      <c r="L70" s="24">
        <f t="shared" si="3"/>
        <v>-23.9</v>
      </c>
      <c r="M70" s="25"/>
      <c r="N70" s="26" t="s">
        <v>56</v>
      </c>
    </row>
    <row r="71" spans="2:14">
      <c r="B71" s="19"/>
      <c r="C71" s="20"/>
      <c r="D71" s="21"/>
      <c r="E71" s="22"/>
      <c r="F71" s="21" t="s">
        <v>71</v>
      </c>
      <c r="G71" s="23"/>
      <c r="H71" s="21"/>
      <c r="I71" s="19"/>
      <c r="J71" s="22">
        <v>23.9</v>
      </c>
      <c r="K71" s="22"/>
      <c r="L71" s="24">
        <f t="shared" si="3"/>
        <v>23.9</v>
      </c>
      <c r="M71" s="25"/>
      <c r="N71" s="26"/>
    </row>
    <row r="72" spans="2:14">
      <c r="B72" s="19" t="s">
        <v>2739</v>
      </c>
      <c r="C72" s="20" t="s">
        <v>15</v>
      </c>
      <c r="D72" s="21" t="s">
        <v>2740</v>
      </c>
      <c r="E72" s="22">
        <v>443.79</v>
      </c>
      <c r="F72" s="21" t="s">
        <v>17</v>
      </c>
      <c r="G72" s="23" t="s">
        <v>21</v>
      </c>
      <c r="H72" s="21" t="s">
        <v>2741</v>
      </c>
      <c r="I72" s="19" t="s">
        <v>2739</v>
      </c>
      <c r="J72" s="22">
        <f t="shared" si="2"/>
        <v>443.79</v>
      </c>
      <c r="K72" s="22">
        <v>443.79</v>
      </c>
      <c r="L72" s="24">
        <f t="shared" si="3"/>
        <v>0</v>
      </c>
      <c r="M72" s="25"/>
      <c r="N72" s="26"/>
    </row>
    <row r="73" spans="2:14">
      <c r="B73" s="19" t="s">
        <v>2739</v>
      </c>
      <c r="C73" s="20" t="s">
        <v>15</v>
      </c>
      <c r="D73" s="21" t="s">
        <v>2742</v>
      </c>
      <c r="E73" s="22">
        <v>534.48</v>
      </c>
      <c r="F73" s="21" t="s">
        <v>17</v>
      </c>
      <c r="G73" s="23" t="s">
        <v>21</v>
      </c>
      <c r="H73" s="21" t="s">
        <v>2743</v>
      </c>
      <c r="I73" s="19" t="s">
        <v>2739</v>
      </c>
      <c r="J73" s="22">
        <f t="shared" si="2"/>
        <v>534.48</v>
      </c>
      <c r="K73" s="22">
        <v>534.48</v>
      </c>
      <c r="L73" s="24">
        <f t="shared" si="3"/>
        <v>0</v>
      </c>
      <c r="M73" s="25"/>
      <c r="N73" s="24"/>
    </row>
    <row r="74" spans="2:14">
      <c r="B74" s="19" t="s">
        <v>2739</v>
      </c>
      <c r="C74" s="20" t="s">
        <v>15</v>
      </c>
      <c r="D74" s="21" t="s">
        <v>2744</v>
      </c>
      <c r="E74" s="22">
        <v>1021.77</v>
      </c>
      <c r="F74" s="21" t="s">
        <v>17</v>
      </c>
      <c r="G74" s="23" t="s">
        <v>21</v>
      </c>
      <c r="H74" s="21" t="s">
        <v>2745</v>
      </c>
      <c r="I74" s="19" t="s">
        <v>2739</v>
      </c>
      <c r="J74" s="22">
        <f t="shared" si="2"/>
        <v>1021.77</v>
      </c>
      <c r="K74" s="22">
        <v>1021.77</v>
      </c>
      <c r="L74" s="24">
        <f t="shared" si="3"/>
        <v>0</v>
      </c>
      <c r="M74" s="25"/>
      <c r="N74" s="26" t="s">
        <v>33</v>
      </c>
    </row>
    <row r="75" spans="2:14">
      <c r="B75" s="19" t="s">
        <v>2739</v>
      </c>
      <c r="C75" s="20" t="s">
        <v>15</v>
      </c>
      <c r="D75" s="21" t="s">
        <v>2746</v>
      </c>
      <c r="E75" s="22">
        <v>194.97</v>
      </c>
      <c r="F75" s="21" t="s">
        <v>17</v>
      </c>
      <c r="G75" s="23" t="s">
        <v>21</v>
      </c>
      <c r="H75" s="21" t="s">
        <v>2747</v>
      </c>
      <c r="I75" s="19" t="s">
        <v>2739</v>
      </c>
      <c r="J75" s="22">
        <f t="shared" si="2"/>
        <v>194.97</v>
      </c>
      <c r="K75" s="22">
        <v>194.97</v>
      </c>
      <c r="L75" s="24">
        <f>J75-K75</f>
        <v>0</v>
      </c>
      <c r="M75" s="25"/>
      <c r="N75" s="26"/>
    </row>
    <row r="76" spans="2:14">
      <c r="B76" s="19" t="s">
        <v>2739</v>
      </c>
      <c r="C76" s="20" t="s">
        <v>15</v>
      </c>
      <c r="D76" s="21" t="s">
        <v>2748</v>
      </c>
      <c r="E76" s="22">
        <v>75.51</v>
      </c>
      <c r="F76" s="21" t="s">
        <v>17</v>
      </c>
      <c r="G76" s="23" t="s">
        <v>37</v>
      </c>
      <c r="H76" s="21" t="s">
        <v>2749</v>
      </c>
      <c r="I76" s="19" t="s">
        <v>2739</v>
      </c>
      <c r="J76" s="22">
        <f t="shared" si="2"/>
        <v>75.51</v>
      </c>
      <c r="K76" s="22">
        <v>75.51</v>
      </c>
      <c r="L76" s="24">
        <f>J76-K76</f>
        <v>0</v>
      </c>
      <c r="M76" s="25"/>
      <c r="N76" s="26"/>
    </row>
    <row r="77" spans="2:14">
      <c r="B77" s="19" t="s">
        <v>2739</v>
      </c>
      <c r="C77" s="20" t="s">
        <v>15</v>
      </c>
      <c r="D77" s="21" t="s">
        <v>2750</v>
      </c>
      <c r="E77" s="22">
        <v>381.09</v>
      </c>
      <c r="F77" s="21" t="s">
        <v>17</v>
      </c>
      <c r="G77" s="23"/>
      <c r="H77" s="21" t="s">
        <v>2751</v>
      </c>
      <c r="I77" s="19" t="s">
        <v>2739</v>
      </c>
      <c r="J77" s="22">
        <v>190.54</v>
      </c>
      <c r="K77" s="22">
        <v>381.09</v>
      </c>
      <c r="L77" s="24">
        <f>J77-K77</f>
        <v>-190.55</v>
      </c>
      <c r="M77" s="25"/>
      <c r="N77" s="26" t="s">
        <v>33</v>
      </c>
    </row>
    <row r="78" spans="2:14">
      <c r="B78" s="19"/>
      <c r="C78" s="20"/>
      <c r="D78" s="21"/>
      <c r="E78" s="22"/>
      <c r="F78" s="21" t="s">
        <v>17</v>
      </c>
      <c r="G78" s="23"/>
      <c r="H78" s="21" t="s">
        <v>2752</v>
      </c>
      <c r="I78" s="19" t="s">
        <v>2739</v>
      </c>
      <c r="J78" s="22">
        <v>190.54</v>
      </c>
      <c r="K78" s="22"/>
      <c r="L78" s="24">
        <f>J78-K78</f>
        <v>190.54</v>
      </c>
      <c r="M78" s="25"/>
      <c r="N78" s="26"/>
    </row>
    <row r="79" spans="2:14">
      <c r="B79" s="19" t="s">
        <v>2739</v>
      </c>
      <c r="C79" s="20" t="s">
        <v>15</v>
      </c>
      <c r="D79" s="21" t="s">
        <v>2753</v>
      </c>
      <c r="E79" s="22">
        <v>630.32</v>
      </c>
      <c r="F79" s="21" t="s">
        <v>17</v>
      </c>
      <c r="G79" s="23" t="s">
        <v>18</v>
      </c>
      <c r="H79" s="21" t="s">
        <v>2754</v>
      </c>
      <c r="I79" s="19" t="s">
        <v>2739</v>
      </c>
      <c r="J79" s="22">
        <f t="shared" ref="J79:J142" si="4">E79</f>
        <v>630.32</v>
      </c>
      <c r="K79" s="22">
        <v>630.32</v>
      </c>
      <c r="L79" s="24">
        <f t="shared" ref="L79:L139" si="5">J79-K79</f>
        <v>0</v>
      </c>
      <c r="M79" s="25"/>
      <c r="N79" s="26"/>
    </row>
    <row r="80" spans="2:14">
      <c r="B80" s="19" t="s">
        <v>2739</v>
      </c>
      <c r="C80" s="20" t="s">
        <v>64</v>
      </c>
      <c r="D80" s="21" t="s">
        <v>2755</v>
      </c>
      <c r="E80" s="22">
        <v>198.98</v>
      </c>
      <c r="F80" s="21" t="s">
        <v>29</v>
      </c>
      <c r="G80" s="23"/>
      <c r="H80" s="21" t="s">
        <v>2756</v>
      </c>
      <c r="I80" s="19" t="s">
        <v>2739</v>
      </c>
      <c r="J80" s="22">
        <f t="shared" si="4"/>
        <v>198.98</v>
      </c>
      <c r="K80" s="22">
        <v>198.98</v>
      </c>
      <c r="L80" s="24">
        <f t="shared" si="5"/>
        <v>0</v>
      </c>
      <c r="M80" s="25"/>
      <c r="N80" s="26"/>
    </row>
    <row r="81" spans="2:14">
      <c r="B81" s="19" t="s">
        <v>2739</v>
      </c>
      <c r="C81" s="20" t="s">
        <v>64</v>
      </c>
      <c r="D81" s="21" t="s">
        <v>2757</v>
      </c>
      <c r="E81" s="22">
        <v>163.12</v>
      </c>
      <c r="F81" s="21" t="s">
        <v>29</v>
      </c>
      <c r="G81" s="23"/>
      <c r="H81" s="21" t="s">
        <v>2758</v>
      </c>
      <c r="I81" s="19" t="s">
        <v>2739</v>
      </c>
      <c r="J81" s="22">
        <f t="shared" si="4"/>
        <v>163.12</v>
      </c>
      <c r="K81" s="22">
        <v>163.12</v>
      </c>
      <c r="L81" s="24">
        <f t="shared" si="5"/>
        <v>0</v>
      </c>
      <c r="M81" s="25"/>
      <c r="N81" s="26"/>
    </row>
    <row r="82" spans="2:14">
      <c r="B82" s="19" t="s">
        <v>2739</v>
      </c>
      <c r="C82" s="20" t="s">
        <v>15</v>
      </c>
      <c r="D82" s="21" t="s">
        <v>2759</v>
      </c>
      <c r="E82" s="22">
        <v>183.5</v>
      </c>
      <c r="F82" s="21" t="s">
        <v>17</v>
      </c>
      <c r="G82" s="23" t="s">
        <v>21</v>
      </c>
      <c r="H82" s="21" t="s">
        <v>2760</v>
      </c>
      <c r="I82" s="19" t="s">
        <v>2739</v>
      </c>
      <c r="J82" s="22">
        <f t="shared" si="4"/>
        <v>183.5</v>
      </c>
      <c r="K82" s="22">
        <v>183.5</v>
      </c>
      <c r="L82" s="24">
        <f t="shared" si="5"/>
        <v>0</v>
      </c>
      <c r="M82" s="25"/>
      <c r="N82" s="26"/>
    </row>
    <row r="83" spans="2:14">
      <c r="B83" s="19" t="s">
        <v>2739</v>
      </c>
      <c r="C83" s="20" t="s">
        <v>15</v>
      </c>
      <c r="D83" s="21" t="s">
        <v>2761</v>
      </c>
      <c r="E83" s="22">
        <v>207.32</v>
      </c>
      <c r="F83" s="21" t="s">
        <v>17</v>
      </c>
      <c r="G83" s="23" t="s">
        <v>21</v>
      </c>
      <c r="H83" s="21" t="s">
        <v>2762</v>
      </c>
      <c r="I83" s="19" t="s">
        <v>2739</v>
      </c>
      <c r="J83" s="22">
        <f t="shared" si="4"/>
        <v>207.32</v>
      </c>
      <c r="K83" s="22">
        <v>207.32</v>
      </c>
      <c r="L83" s="24">
        <f t="shared" si="5"/>
        <v>0</v>
      </c>
      <c r="M83" s="25"/>
      <c r="N83" s="26" t="s">
        <v>56</v>
      </c>
    </row>
    <row r="84" spans="2:14">
      <c r="B84" s="19" t="s">
        <v>2739</v>
      </c>
      <c r="C84" s="20" t="s">
        <v>15</v>
      </c>
      <c r="D84" s="21" t="s">
        <v>2763</v>
      </c>
      <c r="E84" s="22">
        <v>118.26</v>
      </c>
      <c r="F84" s="21" t="s">
        <v>17</v>
      </c>
      <c r="G84" s="23" t="s">
        <v>21</v>
      </c>
      <c r="H84" s="21" t="s">
        <v>2764</v>
      </c>
      <c r="I84" s="19" t="s">
        <v>2739</v>
      </c>
      <c r="J84" s="22">
        <f t="shared" si="4"/>
        <v>118.26</v>
      </c>
      <c r="K84" s="22">
        <v>118.26</v>
      </c>
      <c r="L84" s="24">
        <f t="shared" si="5"/>
        <v>0</v>
      </c>
      <c r="M84" s="25"/>
      <c r="N84" s="26" t="s">
        <v>56</v>
      </c>
    </row>
    <row r="85" spans="2:14">
      <c r="B85" s="19"/>
      <c r="C85" s="20"/>
      <c r="D85" s="21"/>
      <c r="E85" s="22"/>
      <c r="F85" s="21"/>
      <c r="G85" s="23"/>
      <c r="H85" s="21"/>
      <c r="I85" s="19"/>
      <c r="J85" s="22">
        <f t="shared" si="4"/>
        <v>0</v>
      </c>
      <c r="K85" s="22"/>
      <c r="L85" s="24">
        <f t="shared" si="5"/>
        <v>0</v>
      </c>
      <c r="M85" s="25"/>
      <c r="N85" s="26"/>
    </row>
    <row r="86" spans="2:14">
      <c r="B86" s="19"/>
      <c r="C86" s="20"/>
      <c r="D86" s="21"/>
      <c r="E86" s="22"/>
      <c r="F86" s="21"/>
      <c r="G86" s="21"/>
      <c r="H86" s="21"/>
      <c r="I86" s="19"/>
      <c r="J86" s="22">
        <f t="shared" si="4"/>
        <v>0</v>
      </c>
      <c r="K86" s="22"/>
      <c r="L86" s="24">
        <f t="shared" si="5"/>
        <v>0</v>
      </c>
      <c r="M86" s="25"/>
      <c r="N86" s="26"/>
    </row>
    <row r="87" spans="2:14">
      <c r="B87" s="19"/>
      <c r="C87" s="20"/>
      <c r="D87" s="21"/>
      <c r="E87" s="22"/>
      <c r="F87" s="21"/>
      <c r="G87" s="23"/>
      <c r="H87" s="21"/>
      <c r="I87" s="19"/>
      <c r="J87" s="22">
        <f t="shared" si="4"/>
        <v>0</v>
      </c>
      <c r="K87" s="22"/>
      <c r="L87" s="24">
        <f t="shared" si="5"/>
        <v>0</v>
      </c>
      <c r="M87" s="25"/>
      <c r="N87" s="26"/>
    </row>
    <row r="88" spans="2:14">
      <c r="B88" s="19"/>
      <c r="C88" s="20"/>
      <c r="D88" s="21"/>
      <c r="E88" s="22"/>
      <c r="F88" s="21"/>
      <c r="G88" s="23"/>
      <c r="H88" s="21"/>
      <c r="I88" s="19"/>
      <c r="J88" s="22">
        <f t="shared" si="4"/>
        <v>0</v>
      </c>
      <c r="K88" s="22"/>
      <c r="L88" s="24">
        <f t="shared" si="5"/>
        <v>0</v>
      </c>
      <c r="M88" s="25"/>
      <c r="N88" s="26"/>
    </row>
    <row r="89" spans="2:14">
      <c r="B89" s="19"/>
      <c r="C89" s="20"/>
      <c r="D89" s="21"/>
      <c r="E89" s="22"/>
      <c r="F89" s="21"/>
      <c r="G89" s="23"/>
      <c r="H89" s="21"/>
      <c r="I89" s="19"/>
      <c r="J89" s="22">
        <f t="shared" si="4"/>
        <v>0</v>
      </c>
      <c r="K89" s="22"/>
      <c r="L89" s="24">
        <f t="shared" si="5"/>
        <v>0</v>
      </c>
      <c r="M89" s="25"/>
      <c r="N89" s="26"/>
    </row>
    <row r="90" spans="2:14">
      <c r="B90" s="19"/>
      <c r="C90" s="20"/>
      <c r="D90" s="21"/>
      <c r="E90" s="22"/>
      <c r="F90" s="21"/>
      <c r="G90" s="23"/>
      <c r="H90" s="21"/>
      <c r="I90" s="19"/>
      <c r="J90" s="22">
        <f t="shared" si="4"/>
        <v>0</v>
      </c>
      <c r="K90" s="22"/>
      <c r="L90" s="24">
        <f t="shared" si="5"/>
        <v>0</v>
      </c>
      <c r="M90" s="25"/>
      <c r="N90" s="26"/>
    </row>
    <row r="91" spans="2:14">
      <c r="B91" s="19"/>
      <c r="C91" s="20"/>
      <c r="D91" s="21"/>
      <c r="E91" s="22"/>
      <c r="F91" s="21"/>
      <c r="G91" s="23"/>
      <c r="H91" s="21"/>
      <c r="I91" s="19"/>
      <c r="J91" s="22">
        <f t="shared" si="4"/>
        <v>0</v>
      </c>
      <c r="K91" s="22"/>
      <c r="L91" s="24">
        <f t="shared" si="5"/>
        <v>0</v>
      </c>
      <c r="M91" s="25"/>
      <c r="N91" s="26"/>
    </row>
    <row r="92" spans="2:14">
      <c r="B92" s="19"/>
      <c r="C92" s="20"/>
      <c r="D92" s="21"/>
      <c r="E92" s="22"/>
      <c r="F92" s="21"/>
      <c r="G92" s="23"/>
      <c r="H92" s="21"/>
      <c r="I92" s="19"/>
      <c r="J92" s="22">
        <f t="shared" si="4"/>
        <v>0</v>
      </c>
      <c r="K92" s="22"/>
      <c r="L92" s="24">
        <f t="shared" si="5"/>
        <v>0</v>
      </c>
      <c r="M92" s="25"/>
      <c r="N92" s="26"/>
    </row>
    <row r="93" spans="2:14">
      <c r="B93" s="19"/>
      <c r="C93" s="20"/>
      <c r="D93" s="21"/>
      <c r="E93" s="22"/>
      <c r="F93" s="21"/>
      <c r="G93" s="23"/>
      <c r="H93" s="21"/>
      <c r="I93" s="19"/>
      <c r="J93" s="22">
        <f t="shared" si="4"/>
        <v>0</v>
      </c>
      <c r="K93" s="22"/>
      <c r="L93" s="24">
        <f t="shared" si="5"/>
        <v>0</v>
      </c>
      <c r="M93" s="25"/>
      <c r="N93" s="26"/>
    </row>
    <row r="94" spans="2:14">
      <c r="B94" s="19"/>
      <c r="C94" s="20"/>
      <c r="D94" s="21"/>
      <c r="E94" s="22"/>
      <c r="F94" s="21"/>
      <c r="G94" s="23"/>
      <c r="H94" s="21"/>
      <c r="I94" s="19"/>
      <c r="J94" s="22">
        <f t="shared" si="4"/>
        <v>0</v>
      </c>
      <c r="K94" s="22"/>
      <c r="L94" s="24">
        <f t="shared" si="5"/>
        <v>0</v>
      </c>
      <c r="M94" s="25"/>
      <c r="N94" s="26"/>
    </row>
    <row r="95" spans="2:14">
      <c r="B95" s="19"/>
      <c r="C95" s="20"/>
      <c r="D95" s="21"/>
      <c r="E95" s="22"/>
      <c r="F95" s="21"/>
      <c r="G95" s="23"/>
      <c r="H95" s="21"/>
      <c r="I95" s="19"/>
      <c r="J95" s="22">
        <f t="shared" si="4"/>
        <v>0</v>
      </c>
      <c r="K95" s="22"/>
      <c r="L95" s="24">
        <f t="shared" si="5"/>
        <v>0</v>
      </c>
      <c r="M95" s="25"/>
      <c r="N95" s="26"/>
    </row>
    <row r="96" spans="2:14">
      <c r="B96" s="19"/>
      <c r="C96" s="20"/>
      <c r="D96" s="21"/>
      <c r="E96" s="22"/>
      <c r="F96" s="21"/>
      <c r="G96" s="23"/>
      <c r="H96" s="21"/>
      <c r="I96" s="19"/>
      <c r="J96" s="22">
        <f t="shared" si="4"/>
        <v>0</v>
      </c>
      <c r="K96" s="22"/>
      <c r="L96" s="24">
        <f t="shared" si="5"/>
        <v>0</v>
      </c>
      <c r="M96" s="24"/>
      <c r="N96" s="26"/>
    </row>
    <row r="97" spans="2:14">
      <c r="B97" s="19"/>
      <c r="C97" s="20"/>
      <c r="D97" s="21"/>
      <c r="E97" s="22"/>
      <c r="F97" s="21"/>
      <c r="G97" s="21"/>
      <c r="H97" s="21"/>
      <c r="I97" s="19"/>
      <c r="J97" s="22">
        <f t="shared" si="4"/>
        <v>0</v>
      </c>
      <c r="K97" s="22"/>
      <c r="L97" s="24">
        <f t="shared" si="5"/>
        <v>0</v>
      </c>
      <c r="M97" s="25"/>
      <c r="N97" s="26"/>
    </row>
    <row r="98" spans="2:14">
      <c r="B98" s="19"/>
      <c r="C98" s="20"/>
      <c r="D98" s="21"/>
      <c r="E98" s="22"/>
      <c r="F98" s="21"/>
      <c r="G98" s="23"/>
      <c r="H98" s="21"/>
      <c r="I98" s="19"/>
      <c r="J98" s="22">
        <f t="shared" si="4"/>
        <v>0</v>
      </c>
      <c r="K98" s="22"/>
      <c r="L98" s="24">
        <f t="shared" si="5"/>
        <v>0</v>
      </c>
      <c r="M98" s="25"/>
      <c r="N98" s="26"/>
    </row>
    <row r="99" spans="2:14">
      <c r="B99" s="19"/>
      <c r="C99" s="20"/>
      <c r="D99" s="21"/>
      <c r="E99" s="22"/>
      <c r="F99" s="21"/>
      <c r="G99" s="23"/>
      <c r="H99" s="21"/>
      <c r="I99" s="19"/>
      <c r="J99" s="22">
        <f t="shared" si="4"/>
        <v>0</v>
      </c>
      <c r="K99" s="22"/>
      <c r="L99" s="24">
        <f t="shared" si="5"/>
        <v>0</v>
      </c>
      <c r="M99" s="25"/>
      <c r="N99" s="26"/>
    </row>
    <row r="100" spans="2:14">
      <c r="B100" s="19"/>
      <c r="C100" s="20"/>
      <c r="D100" s="21"/>
      <c r="E100" s="22"/>
      <c r="F100" s="21"/>
      <c r="G100" s="21"/>
      <c r="H100" s="21"/>
      <c r="I100" s="19"/>
      <c r="J100" s="22">
        <f t="shared" si="4"/>
        <v>0</v>
      </c>
      <c r="K100" s="22"/>
      <c r="L100" s="24">
        <f t="shared" si="5"/>
        <v>0</v>
      </c>
      <c r="M100" s="25"/>
      <c r="N100" s="26"/>
    </row>
    <row r="101" spans="2:14">
      <c r="B101" s="19"/>
      <c r="C101" s="20"/>
      <c r="D101" s="21"/>
      <c r="E101" s="22"/>
      <c r="F101" s="21"/>
      <c r="G101" s="21"/>
      <c r="H101" s="21"/>
      <c r="I101" s="19"/>
      <c r="J101" s="22">
        <f t="shared" si="4"/>
        <v>0</v>
      </c>
      <c r="K101" s="22"/>
      <c r="L101" s="24">
        <f t="shared" si="5"/>
        <v>0</v>
      </c>
      <c r="M101" s="25"/>
      <c r="N101" s="26"/>
    </row>
    <row r="102" spans="2:14">
      <c r="B102" s="19"/>
      <c r="C102" s="20"/>
      <c r="D102" s="21"/>
      <c r="E102" s="22"/>
      <c r="F102" s="21"/>
      <c r="G102" s="21"/>
      <c r="H102" s="21"/>
      <c r="I102" s="19"/>
      <c r="J102" s="22">
        <f t="shared" si="4"/>
        <v>0</v>
      </c>
      <c r="K102" s="22"/>
      <c r="L102" s="24">
        <f t="shared" si="5"/>
        <v>0</v>
      </c>
      <c r="M102" s="25"/>
      <c r="N102" s="26"/>
    </row>
    <row r="103" spans="2:14">
      <c r="B103" s="19"/>
      <c r="C103" s="20"/>
      <c r="D103" s="21"/>
      <c r="E103" s="22"/>
      <c r="F103" s="21"/>
      <c r="G103" s="21"/>
      <c r="H103" s="21"/>
      <c r="I103" s="19"/>
      <c r="J103" s="22">
        <f t="shared" si="4"/>
        <v>0</v>
      </c>
      <c r="K103" s="22"/>
      <c r="L103" s="24">
        <f t="shared" si="5"/>
        <v>0</v>
      </c>
      <c r="M103" s="25"/>
      <c r="N103" s="26"/>
    </row>
    <row r="104" spans="2:14">
      <c r="B104" s="19"/>
      <c r="C104" s="20"/>
      <c r="D104" s="21"/>
      <c r="E104" s="22"/>
      <c r="F104" s="21"/>
      <c r="G104" s="21"/>
      <c r="H104" s="21"/>
      <c r="I104" s="19"/>
      <c r="J104" s="22">
        <f t="shared" si="4"/>
        <v>0</v>
      </c>
      <c r="K104" s="22"/>
      <c r="L104" s="24">
        <f t="shared" si="5"/>
        <v>0</v>
      </c>
      <c r="M104" s="25"/>
      <c r="N104" s="26"/>
    </row>
    <row r="105" spans="2:14">
      <c r="B105" s="19"/>
      <c r="C105" s="20"/>
      <c r="D105" s="21"/>
      <c r="E105" s="22"/>
      <c r="F105" s="21"/>
      <c r="G105" s="21"/>
      <c r="H105" s="21"/>
      <c r="I105" s="19"/>
      <c r="J105" s="22">
        <f t="shared" si="4"/>
        <v>0</v>
      </c>
      <c r="K105" s="22"/>
      <c r="L105" s="24">
        <f t="shared" si="5"/>
        <v>0</v>
      </c>
      <c r="M105" s="25"/>
      <c r="N105" s="26"/>
    </row>
    <row r="106" spans="2:14">
      <c r="B106" s="19"/>
      <c r="C106" s="20"/>
      <c r="D106" s="21"/>
      <c r="E106" s="22"/>
      <c r="F106" s="21"/>
      <c r="G106" s="21"/>
      <c r="H106" s="21"/>
      <c r="I106" s="19"/>
      <c r="J106" s="22">
        <f t="shared" si="4"/>
        <v>0</v>
      </c>
      <c r="K106" s="22"/>
      <c r="L106" s="24">
        <f t="shared" si="5"/>
        <v>0</v>
      </c>
      <c r="M106" s="25"/>
      <c r="N106" s="26"/>
    </row>
    <row r="107" spans="2:14">
      <c r="B107" s="19"/>
      <c r="C107" s="20"/>
      <c r="D107" s="21"/>
      <c r="E107" s="22"/>
      <c r="F107" s="21"/>
      <c r="G107" s="21"/>
      <c r="H107" s="21"/>
      <c r="I107" s="19"/>
      <c r="J107" s="22">
        <f t="shared" si="4"/>
        <v>0</v>
      </c>
      <c r="K107" s="22"/>
      <c r="L107" s="24">
        <f t="shared" si="5"/>
        <v>0</v>
      </c>
      <c r="M107" s="25"/>
      <c r="N107" s="26"/>
    </row>
    <row r="108" spans="2:14">
      <c r="B108" s="19"/>
      <c r="C108" s="20"/>
      <c r="D108" s="21"/>
      <c r="E108" s="22"/>
      <c r="F108" s="21"/>
      <c r="G108" s="21"/>
      <c r="H108" s="21"/>
      <c r="I108" s="19"/>
      <c r="J108" s="22">
        <f t="shared" si="4"/>
        <v>0</v>
      </c>
      <c r="K108" s="22"/>
      <c r="L108" s="24">
        <f t="shared" si="5"/>
        <v>0</v>
      </c>
      <c r="M108" s="25"/>
      <c r="N108" s="26"/>
    </row>
    <row r="109" spans="2:14">
      <c r="B109" s="19"/>
      <c r="C109" s="20"/>
      <c r="D109" s="21"/>
      <c r="E109" s="22"/>
      <c r="F109" s="21"/>
      <c r="G109" s="21"/>
      <c r="H109" s="21"/>
      <c r="I109" s="19"/>
      <c r="J109" s="22">
        <f t="shared" si="4"/>
        <v>0</v>
      </c>
      <c r="K109" s="22"/>
      <c r="L109" s="24">
        <f t="shared" si="5"/>
        <v>0</v>
      </c>
      <c r="M109" s="25"/>
      <c r="N109" s="26"/>
    </row>
    <row r="110" spans="2:14">
      <c r="B110" s="19"/>
      <c r="C110" s="20"/>
      <c r="D110" s="21"/>
      <c r="E110" s="22"/>
      <c r="F110" s="21"/>
      <c r="G110" s="21"/>
      <c r="H110" s="21"/>
      <c r="I110" s="19"/>
      <c r="J110" s="22">
        <f t="shared" si="4"/>
        <v>0</v>
      </c>
      <c r="K110" s="22"/>
      <c r="L110" s="24">
        <f t="shared" si="5"/>
        <v>0</v>
      </c>
      <c r="M110" s="25"/>
      <c r="N110" s="26"/>
    </row>
    <row r="111" spans="2:14">
      <c r="B111" s="19"/>
      <c r="C111" s="20"/>
      <c r="D111" s="21"/>
      <c r="E111" s="22"/>
      <c r="F111" s="21"/>
      <c r="G111" s="21"/>
      <c r="H111" s="21"/>
      <c r="I111" s="19"/>
      <c r="J111" s="22">
        <f t="shared" si="4"/>
        <v>0</v>
      </c>
      <c r="K111" s="22"/>
      <c r="L111" s="24">
        <f t="shared" si="5"/>
        <v>0</v>
      </c>
      <c r="M111" s="25"/>
      <c r="N111" s="26"/>
    </row>
    <row r="112" spans="2:14">
      <c r="B112" s="19"/>
      <c r="C112" s="20"/>
      <c r="D112" s="21"/>
      <c r="E112" s="22"/>
      <c r="F112" s="21"/>
      <c r="G112" s="21"/>
      <c r="H112" s="21"/>
      <c r="I112" s="19"/>
      <c r="J112" s="22">
        <f t="shared" si="4"/>
        <v>0</v>
      </c>
      <c r="K112" s="22"/>
      <c r="L112" s="24">
        <f t="shared" si="5"/>
        <v>0</v>
      </c>
      <c r="M112" s="25"/>
      <c r="N112" s="26"/>
    </row>
    <row r="113" spans="2:14">
      <c r="B113" s="19"/>
      <c r="C113" s="20"/>
      <c r="D113" s="21"/>
      <c r="E113" s="22"/>
      <c r="F113" s="21"/>
      <c r="G113" s="21"/>
      <c r="H113" s="21"/>
      <c r="I113" s="19"/>
      <c r="J113" s="22">
        <f t="shared" si="4"/>
        <v>0</v>
      </c>
      <c r="K113" s="22"/>
      <c r="L113" s="24">
        <f t="shared" si="5"/>
        <v>0</v>
      </c>
      <c r="M113" s="25"/>
      <c r="N113" s="26"/>
    </row>
    <row r="114" spans="2:14">
      <c r="B114" s="19"/>
      <c r="C114" s="20"/>
      <c r="D114" s="21"/>
      <c r="E114" s="22"/>
      <c r="F114" s="21"/>
      <c r="G114" s="21"/>
      <c r="H114" s="21"/>
      <c r="I114" s="19"/>
      <c r="J114" s="22">
        <f t="shared" si="4"/>
        <v>0</v>
      </c>
      <c r="K114" s="22"/>
      <c r="L114" s="24">
        <f t="shared" si="5"/>
        <v>0</v>
      </c>
      <c r="M114" s="25"/>
      <c r="N114" s="26"/>
    </row>
    <row r="115" spans="2:14">
      <c r="B115" s="19"/>
      <c r="C115" s="20"/>
      <c r="D115" s="21"/>
      <c r="E115" s="22"/>
      <c r="F115" s="21"/>
      <c r="G115" s="21"/>
      <c r="H115" s="21"/>
      <c r="I115" s="19"/>
      <c r="J115" s="22">
        <f t="shared" si="4"/>
        <v>0</v>
      </c>
      <c r="K115" s="22"/>
      <c r="L115" s="24">
        <f t="shared" si="5"/>
        <v>0</v>
      </c>
      <c r="M115" s="25"/>
      <c r="N115" s="26"/>
    </row>
    <row r="116" spans="2:14">
      <c r="B116" s="19"/>
      <c r="C116" s="20"/>
      <c r="D116" s="21"/>
      <c r="E116" s="22"/>
      <c r="F116" s="21"/>
      <c r="G116" s="21"/>
      <c r="H116" s="21"/>
      <c r="I116" s="19"/>
      <c r="J116" s="22">
        <f t="shared" si="4"/>
        <v>0</v>
      </c>
      <c r="K116" s="22"/>
      <c r="L116" s="24">
        <f t="shared" si="5"/>
        <v>0</v>
      </c>
      <c r="M116" s="25"/>
      <c r="N116" s="26"/>
    </row>
    <row r="117" spans="2:14">
      <c r="B117" s="19"/>
      <c r="C117" s="20"/>
      <c r="D117" s="21"/>
      <c r="E117" s="22"/>
      <c r="F117" s="21"/>
      <c r="G117" s="21"/>
      <c r="H117" s="21"/>
      <c r="I117" s="19"/>
      <c r="J117" s="22">
        <f t="shared" si="4"/>
        <v>0</v>
      </c>
      <c r="K117" s="22"/>
      <c r="L117" s="24">
        <f t="shared" si="5"/>
        <v>0</v>
      </c>
      <c r="M117" s="25"/>
      <c r="N117" s="26"/>
    </row>
    <row r="118" spans="2:14">
      <c r="B118" s="19"/>
      <c r="C118" s="20"/>
      <c r="D118" s="21"/>
      <c r="E118" s="22"/>
      <c r="F118" s="21"/>
      <c r="G118" s="21"/>
      <c r="H118" s="21"/>
      <c r="I118" s="19"/>
      <c r="J118" s="22">
        <f t="shared" si="4"/>
        <v>0</v>
      </c>
      <c r="K118" s="22"/>
      <c r="L118" s="24">
        <f t="shared" si="5"/>
        <v>0</v>
      </c>
      <c r="M118" s="25"/>
      <c r="N118" s="26"/>
    </row>
    <row r="119" spans="2:14">
      <c r="B119" s="19"/>
      <c r="C119" s="20"/>
      <c r="D119" s="21"/>
      <c r="E119" s="22"/>
      <c r="F119" s="21"/>
      <c r="G119" s="21"/>
      <c r="H119" s="21"/>
      <c r="I119" s="19"/>
      <c r="J119" s="22">
        <f t="shared" si="4"/>
        <v>0</v>
      </c>
      <c r="K119" s="22"/>
      <c r="L119" s="24">
        <f t="shared" si="5"/>
        <v>0</v>
      </c>
      <c r="M119" s="25"/>
      <c r="N119" s="26"/>
    </row>
    <row r="120" spans="2:14">
      <c r="B120" s="19"/>
      <c r="C120" s="20"/>
      <c r="D120" s="21"/>
      <c r="E120" s="22"/>
      <c r="F120" s="21"/>
      <c r="G120" s="21"/>
      <c r="H120" s="21"/>
      <c r="I120" s="19"/>
      <c r="J120" s="22">
        <f t="shared" si="4"/>
        <v>0</v>
      </c>
      <c r="K120" s="22"/>
      <c r="L120" s="24">
        <f t="shared" si="5"/>
        <v>0</v>
      </c>
      <c r="M120" s="25"/>
      <c r="N120" s="26"/>
    </row>
    <row r="121" spans="2:14">
      <c r="B121" s="19"/>
      <c r="C121" s="20"/>
      <c r="D121" s="21"/>
      <c r="E121" s="22"/>
      <c r="F121" s="21"/>
      <c r="G121" s="21"/>
      <c r="H121" s="21"/>
      <c r="I121" s="19"/>
      <c r="J121" s="22">
        <f t="shared" si="4"/>
        <v>0</v>
      </c>
      <c r="K121" s="22"/>
      <c r="L121" s="24">
        <f t="shared" si="5"/>
        <v>0</v>
      </c>
      <c r="M121" s="25"/>
      <c r="N121" s="26"/>
    </row>
    <row r="122" spans="2:14">
      <c r="B122" s="19"/>
      <c r="C122" s="20"/>
      <c r="D122" s="21"/>
      <c r="E122" s="22"/>
      <c r="F122" s="21"/>
      <c r="G122" s="21"/>
      <c r="H122" s="21"/>
      <c r="I122" s="19"/>
      <c r="J122" s="22">
        <f t="shared" si="4"/>
        <v>0</v>
      </c>
      <c r="K122" s="22"/>
      <c r="L122" s="24">
        <f t="shared" si="5"/>
        <v>0</v>
      </c>
      <c r="M122" s="25"/>
      <c r="N122" s="26"/>
    </row>
    <row r="123" spans="2:14">
      <c r="B123" s="19"/>
      <c r="C123" s="20"/>
      <c r="D123" s="21"/>
      <c r="E123" s="22"/>
      <c r="F123" s="21"/>
      <c r="G123" s="21"/>
      <c r="H123" s="21"/>
      <c r="I123" s="19"/>
      <c r="J123" s="22">
        <f t="shared" si="4"/>
        <v>0</v>
      </c>
      <c r="K123" s="22"/>
      <c r="L123" s="24">
        <f t="shared" si="5"/>
        <v>0</v>
      </c>
      <c r="M123" s="25"/>
      <c r="N123" s="26"/>
    </row>
    <row r="124" spans="2:14">
      <c r="B124" s="19"/>
      <c r="C124" s="20"/>
      <c r="D124" s="21"/>
      <c r="E124" s="22"/>
      <c r="F124" s="21"/>
      <c r="G124" s="21"/>
      <c r="H124" s="21"/>
      <c r="I124" s="19"/>
      <c r="J124" s="22">
        <f t="shared" si="4"/>
        <v>0</v>
      </c>
      <c r="K124" s="22"/>
      <c r="L124" s="24">
        <f t="shared" si="5"/>
        <v>0</v>
      </c>
      <c r="M124" s="25"/>
      <c r="N124" s="26"/>
    </row>
    <row r="125" spans="2:14">
      <c r="B125" s="19"/>
      <c r="C125" s="20"/>
      <c r="D125" s="21"/>
      <c r="E125" s="22"/>
      <c r="F125" s="21"/>
      <c r="G125" s="21"/>
      <c r="H125" s="21"/>
      <c r="I125" s="19"/>
      <c r="J125" s="22">
        <f t="shared" si="4"/>
        <v>0</v>
      </c>
      <c r="K125" s="22"/>
      <c r="L125" s="24">
        <f t="shared" si="5"/>
        <v>0</v>
      </c>
      <c r="M125" s="25"/>
      <c r="N125" s="26"/>
    </row>
    <row r="126" spans="2:14">
      <c r="B126" s="19"/>
      <c r="C126" s="20"/>
      <c r="D126" s="21"/>
      <c r="E126" s="22"/>
      <c r="F126" s="21"/>
      <c r="G126" s="21"/>
      <c r="H126" s="21"/>
      <c r="I126" s="19"/>
      <c r="J126" s="22">
        <f t="shared" si="4"/>
        <v>0</v>
      </c>
      <c r="K126" s="22"/>
      <c r="L126" s="24">
        <f t="shared" si="5"/>
        <v>0</v>
      </c>
      <c r="M126" s="25"/>
      <c r="N126" s="26"/>
    </row>
    <row r="127" spans="2:14">
      <c r="B127" s="19"/>
      <c r="C127" s="20"/>
      <c r="D127" s="21"/>
      <c r="E127" s="22"/>
      <c r="F127" s="21"/>
      <c r="G127" s="21"/>
      <c r="H127" s="21"/>
      <c r="I127" s="19"/>
      <c r="J127" s="22">
        <f t="shared" si="4"/>
        <v>0</v>
      </c>
      <c r="K127" s="22"/>
      <c r="L127" s="24">
        <f t="shared" si="5"/>
        <v>0</v>
      </c>
      <c r="M127" s="25"/>
      <c r="N127" s="26"/>
    </row>
    <row r="128" spans="2:14">
      <c r="B128" s="19"/>
      <c r="C128" s="20"/>
      <c r="D128" s="21"/>
      <c r="E128" s="22"/>
      <c r="F128" s="21"/>
      <c r="G128" s="21"/>
      <c r="H128" s="21"/>
      <c r="I128" s="19"/>
      <c r="J128" s="22">
        <f t="shared" si="4"/>
        <v>0</v>
      </c>
      <c r="K128" s="22"/>
      <c r="L128" s="24">
        <f t="shared" si="5"/>
        <v>0</v>
      </c>
      <c r="M128" s="25"/>
      <c r="N128" s="26"/>
    </row>
    <row r="129" spans="2:14">
      <c r="B129" s="19"/>
      <c r="C129" s="20"/>
      <c r="D129" s="21"/>
      <c r="E129" s="22"/>
      <c r="F129" s="21"/>
      <c r="G129" s="21"/>
      <c r="H129" s="21"/>
      <c r="I129" s="19"/>
      <c r="J129" s="22">
        <f t="shared" si="4"/>
        <v>0</v>
      </c>
      <c r="K129" s="22"/>
      <c r="L129" s="24">
        <f t="shared" si="5"/>
        <v>0</v>
      </c>
      <c r="M129" s="25"/>
      <c r="N129" s="26"/>
    </row>
    <row r="130" spans="2:14">
      <c r="B130" s="19"/>
      <c r="C130" s="20"/>
      <c r="D130" s="21"/>
      <c r="E130" s="22"/>
      <c r="F130" s="21"/>
      <c r="G130" s="21"/>
      <c r="H130" s="21"/>
      <c r="I130" s="19"/>
      <c r="J130" s="22">
        <f t="shared" si="4"/>
        <v>0</v>
      </c>
      <c r="K130" s="22"/>
      <c r="L130" s="24">
        <f t="shared" si="5"/>
        <v>0</v>
      </c>
      <c r="M130" s="25"/>
      <c r="N130" s="26"/>
    </row>
    <row r="131" spans="2:14">
      <c r="B131" s="19"/>
      <c r="C131" s="20"/>
      <c r="D131" s="21"/>
      <c r="E131" s="22"/>
      <c r="F131" s="21"/>
      <c r="G131" s="21"/>
      <c r="H131" s="21"/>
      <c r="I131" s="19"/>
      <c r="J131" s="22">
        <f t="shared" si="4"/>
        <v>0</v>
      </c>
      <c r="K131" s="22"/>
      <c r="L131" s="24">
        <f t="shared" si="5"/>
        <v>0</v>
      </c>
      <c r="M131" s="25"/>
      <c r="N131" s="26"/>
    </row>
    <row r="132" spans="2:14">
      <c r="B132" s="19"/>
      <c r="C132" s="20"/>
      <c r="D132" s="21"/>
      <c r="E132" s="22"/>
      <c r="F132" s="21"/>
      <c r="G132" s="21"/>
      <c r="H132" s="21"/>
      <c r="I132" s="19"/>
      <c r="J132" s="22">
        <f t="shared" si="4"/>
        <v>0</v>
      </c>
      <c r="K132" s="22"/>
      <c r="L132" s="24">
        <f t="shared" si="5"/>
        <v>0</v>
      </c>
      <c r="M132" s="25"/>
      <c r="N132" s="26"/>
    </row>
    <row r="133" spans="2:14">
      <c r="B133" s="19"/>
      <c r="C133" s="20"/>
      <c r="D133" s="21"/>
      <c r="E133" s="22"/>
      <c r="F133" s="21"/>
      <c r="G133" s="21"/>
      <c r="H133" s="21"/>
      <c r="I133" s="19"/>
      <c r="J133" s="22">
        <f t="shared" si="4"/>
        <v>0</v>
      </c>
      <c r="K133" s="22"/>
      <c r="L133" s="24">
        <f t="shared" si="5"/>
        <v>0</v>
      </c>
      <c r="M133" s="25"/>
      <c r="N133" s="26"/>
    </row>
    <row r="134" spans="2:14">
      <c r="B134" s="19"/>
      <c r="C134" s="20"/>
      <c r="D134" s="21"/>
      <c r="E134" s="22"/>
      <c r="F134" s="21"/>
      <c r="G134" s="21"/>
      <c r="H134" s="21"/>
      <c r="I134" s="19"/>
      <c r="J134" s="22">
        <f t="shared" si="4"/>
        <v>0</v>
      </c>
      <c r="K134" s="22"/>
      <c r="L134" s="24">
        <f t="shared" si="5"/>
        <v>0</v>
      </c>
      <c r="M134" s="25"/>
      <c r="N134" s="26"/>
    </row>
    <row r="135" spans="2:14">
      <c r="B135" s="19"/>
      <c r="C135" s="20"/>
      <c r="D135" s="21"/>
      <c r="E135" s="22"/>
      <c r="F135" s="21"/>
      <c r="G135" s="21"/>
      <c r="H135" s="21"/>
      <c r="I135" s="19"/>
      <c r="J135" s="22">
        <f t="shared" si="4"/>
        <v>0</v>
      </c>
      <c r="K135" s="22"/>
      <c r="L135" s="24">
        <f t="shared" si="5"/>
        <v>0</v>
      </c>
      <c r="M135" s="25"/>
      <c r="N135" s="26"/>
    </row>
    <row r="136" spans="2:14">
      <c r="B136" s="19"/>
      <c r="C136" s="20"/>
      <c r="D136" s="21"/>
      <c r="E136" s="22"/>
      <c r="F136" s="21"/>
      <c r="G136" s="21"/>
      <c r="H136" s="21"/>
      <c r="I136" s="19"/>
      <c r="J136" s="22">
        <f t="shared" si="4"/>
        <v>0</v>
      </c>
      <c r="K136" s="22"/>
      <c r="L136" s="24">
        <f t="shared" si="5"/>
        <v>0</v>
      </c>
      <c r="M136" s="25"/>
      <c r="N136" s="26"/>
    </row>
    <row r="137" spans="2:14">
      <c r="B137" s="19"/>
      <c r="C137" s="20"/>
      <c r="D137" s="21"/>
      <c r="E137" s="22"/>
      <c r="F137" s="21"/>
      <c r="G137" s="21"/>
      <c r="H137" s="21"/>
      <c r="I137" s="19"/>
      <c r="J137" s="22">
        <f t="shared" si="4"/>
        <v>0</v>
      </c>
      <c r="K137" s="22"/>
      <c r="L137" s="24">
        <f t="shared" si="5"/>
        <v>0</v>
      </c>
      <c r="M137" s="25"/>
      <c r="N137" s="26"/>
    </row>
    <row r="138" spans="2:14">
      <c r="B138" s="19"/>
      <c r="C138" s="20"/>
      <c r="D138" s="21"/>
      <c r="E138" s="22"/>
      <c r="F138" s="21"/>
      <c r="G138" s="21"/>
      <c r="H138" s="21"/>
      <c r="I138" s="19"/>
      <c r="J138" s="22">
        <f t="shared" si="4"/>
        <v>0</v>
      </c>
      <c r="K138" s="22"/>
      <c r="L138" s="24">
        <f t="shared" si="5"/>
        <v>0</v>
      </c>
      <c r="M138" s="25"/>
      <c r="N138" s="31"/>
    </row>
    <row r="139" spans="2:14">
      <c r="B139" s="19"/>
      <c r="C139" s="20"/>
      <c r="D139" s="21"/>
      <c r="E139" s="22"/>
      <c r="F139" s="21"/>
      <c r="G139" s="21"/>
      <c r="H139" s="21"/>
      <c r="I139" s="19"/>
      <c r="J139" s="22">
        <f t="shared" si="4"/>
        <v>0</v>
      </c>
      <c r="K139" s="22"/>
      <c r="L139" s="24">
        <f t="shared" si="5"/>
        <v>0</v>
      </c>
      <c r="M139" s="25"/>
      <c r="N139" s="31"/>
    </row>
    <row r="140" spans="2:14">
      <c r="B140" s="19"/>
      <c r="C140" s="20"/>
      <c r="D140" s="21"/>
      <c r="E140" s="22"/>
      <c r="F140" s="21"/>
      <c r="G140" s="21"/>
      <c r="H140" s="21"/>
      <c r="I140" s="19"/>
      <c r="J140" s="22">
        <f t="shared" si="4"/>
        <v>0</v>
      </c>
      <c r="K140" s="22"/>
      <c r="L140" s="24">
        <f t="shared" ref="L140:L203" si="6">J140-K140</f>
        <v>0</v>
      </c>
      <c r="M140" s="25"/>
      <c r="N140" s="26"/>
    </row>
    <row r="141" spans="2:14">
      <c r="B141" s="19"/>
      <c r="C141" s="20"/>
      <c r="D141" s="21"/>
      <c r="E141" s="22"/>
      <c r="F141" s="21"/>
      <c r="G141" s="21"/>
      <c r="H141" s="21"/>
      <c r="I141" s="19"/>
      <c r="J141" s="22">
        <f t="shared" si="4"/>
        <v>0</v>
      </c>
      <c r="K141" s="22"/>
      <c r="L141" s="24">
        <f t="shared" si="6"/>
        <v>0</v>
      </c>
      <c r="M141" s="25"/>
      <c r="N141" s="26"/>
    </row>
    <row r="142" spans="2:14">
      <c r="B142" s="19"/>
      <c r="C142" s="20"/>
      <c r="D142" s="21"/>
      <c r="E142" s="22"/>
      <c r="F142" s="21"/>
      <c r="G142" s="21"/>
      <c r="H142" s="21"/>
      <c r="I142" s="19"/>
      <c r="J142" s="22">
        <f t="shared" si="4"/>
        <v>0</v>
      </c>
      <c r="K142" s="22"/>
      <c r="L142" s="24">
        <f t="shared" si="6"/>
        <v>0</v>
      </c>
      <c r="M142" s="25"/>
      <c r="N142" s="26"/>
    </row>
    <row r="143" spans="2:14">
      <c r="B143" s="19"/>
      <c r="C143" s="20"/>
      <c r="D143" s="21"/>
      <c r="E143" s="22"/>
      <c r="F143" s="21"/>
      <c r="G143" s="21"/>
      <c r="H143" s="21"/>
      <c r="I143" s="19"/>
      <c r="J143" s="22">
        <f t="shared" ref="J143:J206" si="7">E143</f>
        <v>0</v>
      </c>
      <c r="K143" s="22"/>
      <c r="L143" s="24">
        <f t="shared" si="6"/>
        <v>0</v>
      </c>
      <c r="M143" s="25"/>
      <c r="N143" s="26"/>
    </row>
    <row r="144" spans="2:14">
      <c r="B144" s="19"/>
      <c r="C144" s="20"/>
      <c r="D144" s="21"/>
      <c r="E144" s="22"/>
      <c r="F144" s="21"/>
      <c r="G144" s="21"/>
      <c r="H144" s="21"/>
      <c r="I144" s="19"/>
      <c r="J144" s="22">
        <f t="shared" si="7"/>
        <v>0</v>
      </c>
      <c r="K144" s="22"/>
      <c r="L144" s="24">
        <f t="shared" si="6"/>
        <v>0</v>
      </c>
      <c r="M144" s="25"/>
      <c r="N144" s="26"/>
    </row>
    <row r="145" spans="1:14">
      <c r="B145" s="19"/>
      <c r="C145" s="20"/>
      <c r="D145" s="21"/>
      <c r="E145" s="22"/>
      <c r="F145" s="21"/>
      <c r="G145" s="21"/>
      <c r="H145" s="21"/>
      <c r="I145" s="19"/>
      <c r="J145" s="22">
        <f t="shared" si="7"/>
        <v>0</v>
      </c>
      <c r="K145" s="22"/>
      <c r="L145" s="24">
        <f t="shared" si="6"/>
        <v>0</v>
      </c>
      <c r="M145" s="25"/>
      <c r="N145" s="26"/>
    </row>
    <row r="146" spans="1:14">
      <c r="B146" s="19"/>
      <c r="C146" s="20"/>
      <c r="D146" s="21"/>
      <c r="E146" s="22"/>
      <c r="F146" s="21"/>
      <c r="G146" s="21"/>
      <c r="H146" s="21"/>
      <c r="I146" s="19"/>
      <c r="J146" s="22">
        <f t="shared" si="7"/>
        <v>0</v>
      </c>
      <c r="K146" s="22"/>
      <c r="L146" s="24">
        <f t="shared" si="6"/>
        <v>0</v>
      </c>
      <c r="M146" s="25"/>
      <c r="N146" s="26"/>
    </row>
    <row r="147" spans="1:14">
      <c r="B147" s="19"/>
      <c r="C147" s="20"/>
      <c r="D147" s="21"/>
      <c r="E147" s="22"/>
      <c r="F147" s="21"/>
      <c r="G147" s="21"/>
      <c r="H147" s="21"/>
      <c r="I147" s="19"/>
      <c r="J147" s="22">
        <f t="shared" si="7"/>
        <v>0</v>
      </c>
      <c r="K147" s="22"/>
      <c r="L147" s="24">
        <f t="shared" si="6"/>
        <v>0</v>
      </c>
      <c r="M147" s="25"/>
      <c r="N147" s="26"/>
    </row>
    <row r="148" spans="1:14">
      <c r="B148" s="19"/>
      <c r="C148" s="20"/>
      <c r="D148" s="21"/>
      <c r="E148" s="22"/>
      <c r="F148" s="21"/>
      <c r="G148" s="21"/>
      <c r="H148" s="21"/>
      <c r="I148" s="19"/>
      <c r="J148" s="22">
        <f t="shared" si="7"/>
        <v>0</v>
      </c>
      <c r="K148" s="22"/>
      <c r="L148" s="24">
        <f t="shared" si="6"/>
        <v>0</v>
      </c>
      <c r="M148" s="25"/>
      <c r="N148" s="26"/>
    </row>
    <row r="149" spans="1:14">
      <c r="B149" s="19"/>
      <c r="C149" s="20"/>
      <c r="D149" s="21"/>
      <c r="E149" s="22"/>
      <c r="F149" s="21"/>
      <c r="G149" s="21"/>
      <c r="H149" s="21"/>
      <c r="I149" s="19"/>
      <c r="J149" s="22">
        <f t="shared" si="7"/>
        <v>0</v>
      </c>
      <c r="K149" s="22"/>
      <c r="L149" s="24">
        <f t="shared" si="6"/>
        <v>0</v>
      </c>
      <c r="M149" s="25"/>
      <c r="N149" s="26"/>
    </row>
    <row r="150" spans="1:14">
      <c r="B150" s="19"/>
      <c r="C150" s="20"/>
      <c r="D150" s="21"/>
      <c r="E150" s="22"/>
      <c r="F150" s="21"/>
      <c r="G150" s="21"/>
      <c r="H150" s="21"/>
      <c r="I150" s="19"/>
      <c r="J150" s="22">
        <f t="shared" si="7"/>
        <v>0</v>
      </c>
      <c r="K150" s="22"/>
      <c r="L150" s="24">
        <f t="shared" si="6"/>
        <v>0</v>
      </c>
      <c r="M150" s="25"/>
      <c r="N150" s="26"/>
    </row>
    <row r="151" spans="1:14">
      <c r="B151" s="19"/>
      <c r="C151" s="20"/>
      <c r="D151" s="21"/>
      <c r="E151" s="22"/>
      <c r="F151" s="21"/>
      <c r="G151" s="21"/>
      <c r="H151" s="21"/>
      <c r="I151" s="19"/>
      <c r="J151" s="22">
        <f t="shared" si="7"/>
        <v>0</v>
      </c>
      <c r="K151" s="22"/>
      <c r="L151" s="24">
        <f t="shared" si="6"/>
        <v>0</v>
      </c>
      <c r="M151" s="25"/>
      <c r="N151" s="26"/>
    </row>
    <row r="152" spans="1:14">
      <c r="B152" s="19"/>
      <c r="C152" s="20"/>
      <c r="D152" s="21"/>
      <c r="E152" s="22"/>
      <c r="F152" s="21"/>
      <c r="G152" s="21"/>
      <c r="H152" s="21"/>
      <c r="I152" s="19"/>
      <c r="J152" s="22">
        <f t="shared" si="7"/>
        <v>0</v>
      </c>
      <c r="K152" s="22"/>
      <c r="L152" s="24">
        <f t="shared" si="6"/>
        <v>0</v>
      </c>
      <c r="M152" s="25"/>
      <c r="N152" s="26"/>
    </row>
    <row r="153" spans="1:14">
      <c r="B153" s="19"/>
      <c r="C153" s="20"/>
      <c r="D153" s="21"/>
      <c r="E153" s="22"/>
      <c r="F153" s="21"/>
      <c r="G153" s="21"/>
      <c r="H153" s="21"/>
      <c r="I153" s="19"/>
      <c r="J153" s="22">
        <f t="shared" si="7"/>
        <v>0</v>
      </c>
      <c r="K153" s="22"/>
      <c r="L153" s="24">
        <f t="shared" si="6"/>
        <v>0</v>
      </c>
      <c r="M153" s="25"/>
      <c r="N153" s="26"/>
    </row>
    <row r="154" spans="1:14">
      <c r="B154" s="19"/>
      <c r="C154" s="20"/>
      <c r="D154" s="21"/>
      <c r="E154" s="22"/>
      <c r="F154" s="21"/>
      <c r="G154" s="21"/>
      <c r="H154" s="21"/>
      <c r="I154" s="19"/>
      <c r="J154" s="22">
        <f t="shared" si="7"/>
        <v>0</v>
      </c>
      <c r="K154" s="22"/>
      <c r="L154" s="24">
        <f t="shared" si="6"/>
        <v>0</v>
      </c>
      <c r="M154" s="25"/>
      <c r="N154" s="26"/>
    </row>
    <row r="155" spans="1:14">
      <c r="A155" s="32"/>
      <c r="B155" s="19"/>
      <c r="C155" s="20"/>
      <c r="D155" s="21"/>
      <c r="E155" s="22"/>
      <c r="F155" s="21"/>
      <c r="G155" s="21"/>
      <c r="H155" s="21"/>
      <c r="I155" s="19"/>
      <c r="J155" s="22">
        <f t="shared" si="7"/>
        <v>0</v>
      </c>
      <c r="K155" s="22"/>
      <c r="L155" s="24">
        <f t="shared" si="6"/>
        <v>0</v>
      </c>
      <c r="M155" s="25"/>
      <c r="N155" s="26"/>
    </row>
    <row r="156" spans="1:14">
      <c r="A156" s="33"/>
      <c r="B156" s="19"/>
      <c r="C156" s="20"/>
      <c r="D156" s="21"/>
      <c r="E156" s="22"/>
      <c r="F156" s="21"/>
      <c r="G156" s="21"/>
      <c r="H156" s="21"/>
      <c r="I156" s="19"/>
      <c r="J156" s="22">
        <f t="shared" si="7"/>
        <v>0</v>
      </c>
      <c r="K156" s="22"/>
      <c r="L156" s="24">
        <f t="shared" si="6"/>
        <v>0</v>
      </c>
      <c r="M156" s="25"/>
      <c r="N156" s="26"/>
    </row>
    <row r="157" spans="1:14">
      <c r="A157" s="33"/>
      <c r="B157" s="19"/>
      <c r="C157" s="20"/>
      <c r="D157" s="21"/>
      <c r="E157" s="22"/>
      <c r="F157" s="21"/>
      <c r="G157" s="21"/>
      <c r="H157" s="21"/>
      <c r="I157" s="19"/>
      <c r="J157" s="22">
        <f t="shared" si="7"/>
        <v>0</v>
      </c>
      <c r="K157" s="22"/>
      <c r="L157" s="24">
        <f t="shared" si="6"/>
        <v>0</v>
      </c>
      <c r="M157" s="25"/>
      <c r="N157" s="26"/>
    </row>
    <row r="158" spans="1:14">
      <c r="A158" s="33"/>
      <c r="B158" s="19"/>
      <c r="C158" s="20"/>
      <c r="D158" s="21"/>
      <c r="E158" s="22"/>
      <c r="F158" s="21"/>
      <c r="G158" s="21"/>
      <c r="H158" s="21"/>
      <c r="I158" s="19"/>
      <c r="J158" s="22">
        <f t="shared" si="7"/>
        <v>0</v>
      </c>
      <c r="K158" s="22"/>
      <c r="L158" s="24">
        <f t="shared" si="6"/>
        <v>0</v>
      </c>
      <c r="M158" s="25"/>
      <c r="N158" s="26"/>
    </row>
    <row r="159" spans="1:14">
      <c r="B159" s="19"/>
      <c r="C159" s="20"/>
      <c r="D159" s="21"/>
      <c r="E159" s="22"/>
      <c r="F159" s="21"/>
      <c r="G159" s="21"/>
      <c r="H159" s="21"/>
      <c r="I159" s="19"/>
      <c r="J159" s="22">
        <f t="shared" si="7"/>
        <v>0</v>
      </c>
      <c r="K159" s="22"/>
      <c r="L159" s="24">
        <f t="shared" si="6"/>
        <v>0</v>
      </c>
      <c r="M159" s="25"/>
      <c r="N159" s="26"/>
    </row>
    <row r="160" spans="1:14">
      <c r="B160" s="19"/>
      <c r="C160" s="20"/>
      <c r="D160" s="21"/>
      <c r="E160" s="22"/>
      <c r="F160" s="21"/>
      <c r="G160" s="21"/>
      <c r="H160" s="21"/>
      <c r="I160" s="19"/>
      <c r="J160" s="22">
        <f t="shared" si="7"/>
        <v>0</v>
      </c>
      <c r="K160" s="22"/>
      <c r="L160" s="24">
        <f t="shared" si="6"/>
        <v>0</v>
      </c>
      <c r="M160" s="25"/>
      <c r="N160" s="26"/>
    </row>
    <row r="161" spans="2:14">
      <c r="B161" s="19"/>
      <c r="C161" s="20"/>
      <c r="D161" s="21"/>
      <c r="E161" s="22"/>
      <c r="F161" s="21"/>
      <c r="G161" s="21"/>
      <c r="H161" s="21"/>
      <c r="I161" s="19"/>
      <c r="J161" s="22">
        <f t="shared" si="7"/>
        <v>0</v>
      </c>
      <c r="K161" s="22"/>
      <c r="L161" s="24">
        <f t="shared" si="6"/>
        <v>0</v>
      </c>
      <c r="M161" s="25"/>
      <c r="N161" s="26"/>
    </row>
    <row r="162" spans="2:14">
      <c r="B162" s="19"/>
      <c r="C162" s="20"/>
      <c r="D162" s="21"/>
      <c r="E162" s="22"/>
      <c r="F162" s="21"/>
      <c r="G162" s="21"/>
      <c r="H162" s="21"/>
      <c r="I162" s="19"/>
      <c r="J162" s="22">
        <f t="shared" si="7"/>
        <v>0</v>
      </c>
      <c r="K162" s="22"/>
      <c r="L162" s="24">
        <f t="shared" si="6"/>
        <v>0</v>
      </c>
      <c r="M162" s="25"/>
      <c r="N162" s="26"/>
    </row>
    <row r="163" spans="2:14">
      <c r="B163" s="19"/>
      <c r="C163" s="20"/>
      <c r="D163" s="21"/>
      <c r="E163" s="22"/>
      <c r="F163" s="21"/>
      <c r="G163" s="21"/>
      <c r="H163" s="21"/>
      <c r="I163" s="19"/>
      <c r="J163" s="22">
        <f t="shared" si="7"/>
        <v>0</v>
      </c>
      <c r="K163" s="22"/>
      <c r="L163" s="24">
        <f t="shared" si="6"/>
        <v>0</v>
      </c>
      <c r="M163" s="25"/>
      <c r="N163" s="26"/>
    </row>
    <row r="164" spans="2:14">
      <c r="B164" s="34"/>
      <c r="C164" s="20"/>
      <c r="D164" s="21"/>
      <c r="E164" s="22"/>
      <c r="F164" s="21"/>
      <c r="G164" s="21"/>
      <c r="H164" s="21"/>
      <c r="I164" s="34"/>
      <c r="J164" s="22">
        <f t="shared" si="7"/>
        <v>0</v>
      </c>
      <c r="K164" s="22"/>
      <c r="L164" s="24">
        <f t="shared" si="6"/>
        <v>0</v>
      </c>
      <c r="M164" s="25"/>
      <c r="N164" s="26"/>
    </row>
    <row r="165" spans="2:14">
      <c r="B165" s="34"/>
      <c r="C165" s="20"/>
      <c r="D165" s="21"/>
      <c r="E165" s="22"/>
      <c r="F165" s="21"/>
      <c r="G165" s="21"/>
      <c r="H165" s="21"/>
      <c r="I165" s="34"/>
      <c r="J165" s="22">
        <f t="shared" si="7"/>
        <v>0</v>
      </c>
      <c r="K165" s="22"/>
      <c r="L165" s="24">
        <f t="shared" si="6"/>
        <v>0</v>
      </c>
      <c r="M165" s="25"/>
      <c r="N165" s="31"/>
    </row>
    <row r="166" spans="2:14">
      <c r="B166" s="34"/>
      <c r="C166" s="20"/>
      <c r="D166" s="21"/>
      <c r="E166" s="22"/>
      <c r="F166" s="21"/>
      <c r="G166" s="21"/>
      <c r="H166" s="21"/>
      <c r="I166" s="34"/>
      <c r="J166" s="22">
        <f t="shared" si="7"/>
        <v>0</v>
      </c>
      <c r="K166" s="22"/>
      <c r="L166" s="24">
        <f t="shared" si="6"/>
        <v>0</v>
      </c>
      <c r="M166" s="25"/>
      <c r="N166" s="26"/>
    </row>
    <row r="167" spans="2:14">
      <c r="B167" s="34"/>
      <c r="C167" s="20"/>
      <c r="D167" s="21"/>
      <c r="E167" s="22"/>
      <c r="F167" s="21"/>
      <c r="G167" s="21"/>
      <c r="H167" s="21"/>
      <c r="I167" s="34"/>
      <c r="J167" s="22">
        <f t="shared" si="7"/>
        <v>0</v>
      </c>
      <c r="K167" s="22"/>
      <c r="L167" s="24">
        <f t="shared" si="6"/>
        <v>0</v>
      </c>
      <c r="M167" s="25"/>
      <c r="N167" s="26"/>
    </row>
    <row r="168" spans="2:14">
      <c r="B168" s="34"/>
      <c r="C168" s="20"/>
      <c r="D168" s="21"/>
      <c r="E168" s="22"/>
      <c r="F168" s="21"/>
      <c r="G168" s="21"/>
      <c r="H168" s="21"/>
      <c r="I168" s="34"/>
      <c r="J168" s="22">
        <f t="shared" si="7"/>
        <v>0</v>
      </c>
      <c r="K168" s="22"/>
      <c r="L168" s="24">
        <f t="shared" si="6"/>
        <v>0</v>
      </c>
      <c r="M168" s="25"/>
      <c r="N168" s="26"/>
    </row>
    <row r="169" spans="2:14">
      <c r="B169" s="34"/>
      <c r="C169" s="20"/>
      <c r="D169" s="21"/>
      <c r="E169" s="22"/>
      <c r="F169" s="21"/>
      <c r="G169" s="21"/>
      <c r="H169" s="21"/>
      <c r="I169" s="34"/>
      <c r="J169" s="22">
        <f t="shared" si="7"/>
        <v>0</v>
      </c>
      <c r="K169" s="22"/>
      <c r="L169" s="24">
        <f t="shared" si="6"/>
        <v>0</v>
      </c>
      <c r="M169" s="25"/>
      <c r="N169" s="31"/>
    </row>
    <row r="170" spans="2:14">
      <c r="B170" s="34"/>
      <c r="C170" s="20"/>
      <c r="D170" s="21"/>
      <c r="E170" s="22"/>
      <c r="F170" s="21"/>
      <c r="G170" s="21"/>
      <c r="H170" s="21"/>
      <c r="I170" s="34"/>
      <c r="J170" s="22">
        <f t="shared" si="7"/>
        <v>0</v>
      </c>
      <c r="K170" s="22"/>
      <c r="L170" s="24">
        <f t="shared" si="6"/>
        <v>0</v>
      </c>
      <c r="M170" s="25"/>
      <c r="N170" s="26"/>
    </row>
    <row r="171" spans="2:14">
      <c r="B171" s="34"/>
      <c r="C171" s="20"/>
      <c r="D171" s="21"/>
      <c r="E171" s="22"/>
      <c r="F171" s="21"/>
      <c r="G171" s="21"/>
      <c r="H171" s="21"/>
      <c r="I171" s="34"/>
      <c r="J171" s="22">
        <f t="shared" si="7"/>
        <v>0</v>
      </c>
      <c r="K171" s="22"/>
      <c r="L171" s="24">
        <f t="shared" si="6"/>
        <v>0</v>
      </c>
      <c r="M171" s="25"/>
      <c r="N171" s="26"/>
    </row>
    <row r="172" spans="2:14">
      <c r="B172" s="34"/>
      <c r="C172" s="20"/>
      <c r="D172" s="21"/>
      <c r="E172" s="22"/>
      <c r="F172" s="21"/>
      <c r="G172" s="21"/>
      <c r="H172" s="21"/>
      <c r="I172" s="34"/>
      <c r="J172" s="22">
        <f t="shared" si="7"/>
        <v>0</v>
      </c>
      <c r="K172" s="22"/>
      <c r="L172" s="24">
        <f t="shared" si="6"/>
        <v>0</v>
      </c>
      <c r="M172" s="25"/>
      <c r="N172" s="31"/>
    </row>
    <row r="173" spans="2:14">
      <c r="B173" s="34"/>
      <c r="C173" s="20"/>
      <c r="D173" s="21"/>
      <c r="E173" s="22"/>
      <c r="F173" s="21"/>
      <c r="G173" s="21"/>
      <c r="H173" s="21"/>
      <c r="I173" s="34"/>
      <c r="J173" s="22">
        <f t="shared" si="7"/>
        <v>0</v>
      </c>
      <c r="K173" s="22"/>
      <c r="L173" s="24">
        <f t="shared" si="6"/>
        <v>0</v>
      </c>
      <c r="M173" s="25"/>
      <c r="N173" s="26"/>
    </row>
    <row r="174" spans="2:14">
      <c r="B174" s="34"/>
      <c r="C174" s="20"/>
      <c r="D174" s="21"/>
      <c r="E174" s="22"/>
      <c r="F174" s="21"/>
      <c r="G174" s="21"/>
      <c r="H174" s="21"/>
      <c r="I174" s="34"/>
      <c r="J174" s="22">
        <f t="shared" si="7"/>
        <v>0</v>
      </c>
      <c r="K174" s="22"/>
      <c r="L174" s="24">
        <f t="shared" si="6"/>
        <v>0</v>
      </c>
      <c r="M174" s="35"/>
      <c r="N174" s="26"/>
    </row>
    <row r="175" spans="2:14">
      <c r="B175" s="34"/>
      <c r="C175" s="20"/>
      <c r="D175" s="21"/>
      <c r="E175" s="22"/>
      <c r="F175" s="21"/>
      <c r="G175" s="21"/>
      <c r="H175" s="21"/>
      <c r="I175" s="34"/>
      <c r="J175" s="22">
        <f t="shared" si="7"/>
        <v>0</v>
      </c>
      <c r="K175" s="22"/>
      <c r="L175" s="24">
        <f t="shared" si="6"/>
        <v>0</v>
      </c>
      <c r="M175" s="25"/>
      <c r="N175" s="26"/>
    </row>
    <row r="176" spans="2:14">
      <c r="B176" s="34"/>
      <c r="C176" s="20"/>
      <c r="D176" s="21"/>
      <c r="E176" s="22"/>
      <c r="F176" s="21"/>
      <c r="G176" s="21"/>
      <c r="H176" s="21"/>
      <c r="I176" s="34"/>
      <c r="J176" s="22">
        <f t="shared" si="7"/>
        <v>0</v>
      </c>
      <c r="K176" s="22"/>
      <c r="L176" s="24">
        <f t="shared" si="6"/>
        <v>0</v>
      </c>
      <c r="M176" s="25"/>
      <c r="N176" s="26"/>
    </row>
    <row r="177" spans="2:14">
      <c r="B177" s="34"/>
      <c r="C177" s="20"/>
      <c r="D177" s="21"/>
      <c r="E177" s="22"/>
      <c r="F177" s="21"/>
      <c r="G177" s="21"/>
      <c r="H177" s="21"/>
      <c r="I177" s="34"/>
      <c r="J177" s="22">
        <f t="shared" si="7"/>
        <v>0</v>
      </c>
      <c r="K177" s="22"/>
      <c r="L177" s="24">
        <f t="shared" si="6"/>
        <v>0</v>
      </c>
      <c r="M177" s="25"/>
      <c r="N177" s="26"/>
    </row>
    <row r="178" spans="2:14">
      <c r="B178" s="34"/>
      <c r="C178" s="20"/>
      <c r="D178" s="21"/>
      <c r="E178" s="22"/>
      <c r="F178" s="21"/>
      <c r="G178" s="21"/>
      <c r="H178" s="21"/>
      <c r="I178" s="34"/>
      <c r="J178" s="22">
        <f t="shared" si="7"/>
        <v>0</v>
      </c>
      <c r="K178" s="22"/>
      <c r="L178" s="24">
        <f t="shared" si="6"/>
        <v>0</v>
      </c>
      <c r="M178" s="25"/>
      <c r="N178" s="31"/>
    </row>
    <row r="179" spans="2:14">
      <c r="B179" s="34"/>
      <c r="C179" s="20"/>
      <c r="D179" s="21"/>
      <c r="E179" s="22"/>
      <c r="F179" s="21"/>
      <c r="G179" s="21"/>
      <c r="H179" s="21"/>
      <c r="I179" s="34"/>
      <c r="J179" s="22">
        <f t="shared" si="7"/>
        <v>0</v>
      </c>
      <c r="K179" s="22"/>
      <c r="L179" s="24">
        <f t="shared" si="6"/>
        <v>0</v>
      </c>
      <c r="M179" s="25"/>
      <c r="N179" s="26"/>
    </row>
    <row r="180" spans="2:14">
      <c r="B180" s="34"/>
      <c r="C180" s="20"/>
      <c r="D180" s="21"/>
      <c r="E180" s="22"/>
      <c r="F180" s="21"/>
      <c r="G180" s="21"/>
      <c r="H180" s="36"/>
      <c r="I180" s="34"/>
      <c r="J180" s="22">
        <f t="shared" si="7"/>
        <v>0</v>
      </c>
      <c r="K180" s="22"/>
      <c r="L180" s="24">
        <f t="shared" si="6"/>
        <v>0</v>
      </c>
      <c r="M180" s="25"/>
      <c r="N180" s="26"/>
    </row>
    <row r="181" spans="2:14">
      <c r="B181" s="34"/>
      <c r="C181" s="20"/>
      <c r="D181" s="21"/>
      <c r="E181" s="22"/>
      <c r="F181" s="21"/>
      <c r="G181" s="21"/>
      <c r="H181" s="21"/>
      <c r="I181" s="34"/>
      <c r="J181" s="22">
        <f t="shared" si="7"/>
        <v>0</v>
      </c>
      <c r="K181" s="22"/>
      <c r="L181" s="24">
        <f t="shared" si="6"/>
        <v>0</v>
      </c>
      <c r="M181" s="25"/>
      <c r="N181" s="26"/>
    </row>
    <row r="182" spans="2:14">
      <c r="B182" s="34"/>
      <c r="C182" s="20"/>
      <c r="D182" s="21"/>
      <c r="E182" s="37"/>
      <c r="F182" s="21"/>
      <c r="G182" s="21"/>
      <c r="H182" s="21"/>
      <c r="I182" s="34"/>
      <c r="J182" s="22">
        <f t="shared" si="7"/>
        <v>0</v>
      </c>
      <c r="K182" s="37"/>
      <c r="L182" s="24">
        <f t="shared" si="6"/>
        <v>0</v>
      </c>
      <c r="M182" s="25"/>
      <c r="N182" s="26"/>
    </row>
    <row r="183" spans="2:14">
      <c r="B183" s="34"/>
      <c r="C183" s="20"/>
      <c r="D183" s="21"/>
      <c r="E183" s="37"/>
      <c r="F183" s="21"/>
      <c r="G183" s="21"/>
      <c r="H183" s="21"/>
      <c r="I183" s="34"/>
      <c r="J183" s="22">
        <f t="shared" si="7"/>
        <v>0</v>
      </c>
      <c r="K183" s="37"/>
      <c r="L183" s="24">
        <f t="shared" si="6"/>
        <v>0</v>
      </c>
      <c r="M183" s="25"/>
      <c r="N183" s="26"/>
    </row>
    <row r="184" spans="2:14">
      <c r="B184" s="34"/>
      <c r="C184" s="20"/>
      <c r="D184" s="21"/>
      <c r="E184" s="37"/>
      <c r="F184" s="21"/>
      <c r="G184" s="21"/>
      <c r="H184" s="21"/>
      <c r="I184" s="34"/>
      <c r="J184" s="22">
        <f t="shared" si="7"/>
        <v>0</v>
      </c>
      <c r="K184" s="37"/>
      <c r="L184" s="24">
        <f t="shared" si="6"/>
        <v>0</v>
      </c>
      <c r="M184" s="25"/>
      <c r="N184" s="26"/>
    </row>
    <row r="185" spans="2:14">
      <c r="B185" s="34"/>
      <c r="C185" s="20"/>
      <c r="D185" s="21"/>
      <c r="E185" s="37"/>
      <c r="F185" s="21"/>
      <c r="G185" s="21"/>
      <c r="H185" s="21"/>
      <c r="I185" s="34"/>
      <c r="J185" s="22">
        <f t="shared" si="7"/>
        <v>0</v>
      </c>
      <c r="K185" s="37"/>
      <c r="L185" s="24">
        <f t="shared" si="6"/>
        <v>0</v>
      </c>
      <c r="M185" s="25"/>
      <c r="N185" s="26"/>
    </row>
    <row r="186" spans="2:14">
      <c r="B186" s="34"/>
      <c r="C186" s="20"/>
      <c r="D186" s="21"/>
      <c r="E186" s="37"/>
      <c r="F186" s="21"/>
      <c r="G186" s="21"/>
      <c r="H186" s="21"/>
      <c r="I186" s="34"/>
      <c r="J186" s="22">
        <f t="shared" si="7"/>
        <v>0</v>
      </c>
      <c r="K186" s="37"/>
      <c r="L186" s="24">
        <f t="shared" si="6"/>
        <v>0</v>
      </c>
      <c r="M186" s="25"/>
      <c r="N186" s="26"/>
    </row>
    <row r="187" spans="2:14">
      <c r="B187" s="34"/>
      <c r="C187" s="20"/>
      <c r="D187" s="21"/>
      <c r="E187" s="37"/>
      <c r="F187" s="21"/>
      <c r="G187" s="21"/>
      <c r="H187" s="21"/>
      <c r="I187" s="34"/>
      <c r="J187" s="22">
        <f t="shared" si="7"/>
        <v>0</v>
      </c>
      <c r="K187" s="37"/>
      <c r="L187" s="24">
        <f t="shared" si="6"/>
        <v>0</v>
      </c>
      <c r="M187" s="25"/>
      <c r="N187" s="26"/>
    </row>
    <row r="188" spans="2:14">
      <c r="B188" s="34"/>
      <c r="C188" s="20"/>
      <c r="D188" s="21"/>
      <c r="E188" s="37"/>
      <c r="F188" s="21"/>
      <c r="G188" s="21"/>
      <c r="H188" s="21"/>
      <c r="I188" s="34"/>
      <c r="J188" s="22">
        <f t="shared" si="7"/>
        <v>0</v>
      </c>
      <c r="K188" s="37"/>
      <c r="L188" s="24">
        <f t="shared" si="6"/>
        <v>0</v>
      </c>
      <c r="M188" s="25"/>
      <c r="N188" s="26"/>
    </row>
    <row r="189" spans="2:14">
      <c r="B189" s="34"/>
      <c r="C189" s="20"/>
      <c r="D189" s="21"/>
      <c r="E189" s="38"/>
      <c r="F189" s="21"/>
      <c r="G189" s="21"/>
      <c r="H189" s="21"/>
      <c r="I189" s="34"/>
      <c r="J189" s="22">
        <f t="shared" si="7"/>
        <v>0</v>
      </c>
      <c r="K189" s="38"/>
      <c r="L189" s="24">
        <f t="shared" si="6"/>
        <v>0</v>
      </c>
      <c r="M189" s="25"/>
      <c r="N189" s="26"/>
    </row>
    <row r="190" spans="2:14">
      <c r="B190" s="34"/>
      <c r="C190" s="20"/>
      <c r="D190" s="21"/>
      <c r="E190" s="38"/>
      <c r="F190" s="21"/>
      <c r="G190" s="21"/>
      <c r="H190" s="21"/>
      <c r="I190" s="34"/>
      <c r="J190" s="22">
        <f t="shared" si="7"/>
        <v>0</v>
      </c>
      <c r="K190" s="38"/>
      <c r="L190" s="24">
        <f t="shared" si="6"/>
        <v>0</v>
      </c>
      <c r="M190" s="25"/>
      <c r="N190" s="26"/>
    </row>
    <row r="191" spans="2:14">
      <c r="B191" s="34"/>
      <c r="C191" s="20"/>
      <c r="D191" s="21"/>
      <c r="E191" s="38"/>
      <c r="F191" s="21"/>
      <c r="G191" s="21"/>
      <c r="H191" s="21"/>
      <c r="I191" s="34"/>
      <c r="J191" s="22">
        <f t="shared" si="7"/>
        <v>0</v>
      </c>
      <c r="K191" s="38"/>
      <c r="L191" s="24">
        <f t="shared" si="6"/>
        <v>0</v>
      </c>
      <c r="M191" s="25"/>
      <c r="N191" s="26"/>
    </row>
    <row r="192" spans="2:14">
      <c r="B192" s="34"/>
      <c r="C192" s="20"/>
      <c r="D192" s="21"/>
      <c r="E192" s="38"/>
      <c r="F192" s="21"/>
      <c r="G192" s="21"/>
      <c r="H192" s="21"/>
      <c r="I192" s="34"/>
      <c r="J192" s="22">
        <f t="shared" si="7"/>
        <v>0</v>
      </c>
      <c r="K192" s="38"/>
      <c r="L192" s="24">
        <f t="shared" si="6"/>
        <v>0</v>
      </c>
      <c r="M192" s="25"/>
      <c r="N192" s="26"/>
    </row>
    <row r="193" spans="2:14">
      <c r="B193" s="34"/>
      <c r="C193" s="20"/>
      <c r="D193" s="21"/>
      <c r="E193" s="38"/>
      <c r="F193" s="21"/>
      <c r="G193" s="21"/>
      <c r="H193" s="21"/>
      <c r="I193" s="34"/>
      <c r="J193" s="22">
        <f t="shared" si="7"/>
        <v>0</v>
      </c>
      <c r="K193" s="38"/>
      <c r="L193" s="24">
        <f t="shared" si="6"/>
        <v>0</v>
      </c>
      <c r="M193" s="25"/>
      <c r="N193" s="26"/>
    </row>
    <row r="194" spans="2:14">
      <c r="B194" s="34"/>
      <c r="C194" s="20"/>
      <c r="D194" s="21"/>
      <c r="E194" s="38"/>
      <c r="F194" s="21"/>
      <c r="G194" s="21"/>
      <c r="H194" s="21"/>
      <c r="I194" s="34"/>
      <c r="J194" s="22">
        <f t="shared" si="7"/>
        <v>0</v>
      </c>
      <c r="K194" s="22"/>
      <c r="L194" s="24">
        <f t="shared" si="6"/>
        <v>0</v>
      </c>
      <c r="M194" s="25"/>
      <c r="N194" s="26"/>
    </row>
    <row r="195" spans="2:14">
      <c r="B195" s="34"/>
      <c r="C195" s="20"/>
      <c r="D195" s="21"/>
      <c r="E195" s="38"/>
      <c r="F195" s="21"/>
      <c r="G195" s="21"/>
      <c r="H195" s="21"/>
      <c r="I195" s="34"/>
      <c r="J195" s="22">
        <f t="shared" si="7"/>
        <v>0</v>
      </c>
      <c r="K195" s="22"/>
      <c r="L195" s="24">
        <f t="shared" si="6"/>
        <v>0</v>
      </c>
      <c r="M195" s="25"/>
      <c r="N195" s="26"/>
    </row>
    <row r="196" spans="2:14">
      <c r="B196" s="34"/>
      <c r="C196" s="20"/>
      <c r="D196" s="21"/>
      <c r="E196" s="38"/>
      <c r="F196" s="21"/>
      <c r="G196" s="21"/>
      <c r="H196" s="21"/>
      <c r="I196" s="34"/>
      <c r="J196" s="22">
        <f t="shared" si="7"/>
        <v>0</v>
      </c>
      <c r="K196" s="38"/>
      <c r="L196" s="24">
        <f t="shared" si="6"/>
        <v>0</v>
      </c>
      <c r="M196" s="25"/>
      <c r="N196" s="31"/>
    </row>
    <row r="197" spans="2:14">
      <c r="B197" s="34"/>
      <c r="C197" s="20"/>
      <c r="D197" s="21"/>
      <c r="E197" s="38"/>
      <c r="F197" s="21"/>
      <c r="G197" s="21"/>
      <c r="H197" s="21"/>
      <c r="I197" s="34"/>
      <c r="J197" s="22">
        <f t="shared" si="7"/>
        <v>0</v>
      </c>
      <c r="K197" s="38"/>
      <c r="L197" s="24">
        <f t="shared" si="6"/>
        <v>0</v>
      </c>
      <c r="M197" s="25"/>
      <c r="N197" s="26"/>
    </row>
    <row r="198" spans="2:14">
      <c r="B198" s="34"/>
      <c r="C198" s="20"/>
      <c r="D198" s="21"/>
      <c r="E198" s="38"/>
      <c r="F198" s="21"/>
      <c r="G198" s="21"/>
      <c r="H198" s="21"/>
      <c r="I198" s="34"/>
      <c r="J198" s="22">
        <f t="shared" si="7"/>
        <v>0</v>
      </c>
      <c r="K198" s="38"/>
      <c r="L198" s="24">
        <f t="shared" si="6"/>
        <v>0</v>
      </c>
      <c r="M198" s="25"/>
      <c r="N198" s="26"/>
    </row>
    <row r="199" spans="2:14">
      <c r="B199" s="34"/>
      <c r="C199" s="20"/>
      <c r="D199" s="21"/>
      <c r="E199" s="38"/>
      <c r="F199" s="21"/>
      <c r="G199" s="21"/>
      <c r="H199" s="21"/>
      <c r="I199" s="34"/>
      <c r="J199" s="22">
        <f t="shared" si="7"/>
        <v>0</v>
      </c>
      <c r="K199" s="22"/>
      <c r="L199" s="24">
        <f t="shared" si="6"/>
        <v>0</v>
      </c>
      <c r="M199" s="25"/>
      <c r="N199" s="26"/>
    </row>
    <row r="200" spans="2:14">
      <c r="B200" s="34"/>
      <c r="C200" s="20"/>
      <c r="D200" s="21"/>
      <c r="E200" s="38"/>
      <c r="F200" s="21"/>
      <c r="G200" s="21"/>
      <c r="H200" s="21"/>
      <c r="I200" s="34"/>
      <c r="J200" s="22">
        <f t="shared" si="7"/>
        <v>0</v>
      </c>
      <c r="K200" s="22"/>
      <c r="L200" s="24">
        <f t="shared" si="6"/>
        <v>0</v>
      </c>
      <c r="M200" s="25"/>
      <c r="N200" s="26"/>
    </row>
    <row r="201" spans="2:14">
      <c r="B201" s="34"/>
      <c r="C201" s="20"/>
      <c r="D201" s="21"/>
      <c r="E201" s="38"/>
      <c r="F201" s="21"/>
      <c r="G201" s="21"/>
      <c r="H201" s="21"/>
      <c r="I201" s="34"/>
      <c r="J201" s="22">
        <f t="shared" si="7"/>
        <v>0</v>
      </c>
      <c r="K201" s="22"/>
      <c r="L201" s="24">
        <f t="shared" si="6"/>
        <v>0</v>
      </c>
      <c r="M201" s="25"/>
      <c r="N201" s="26"/>
    </row>
    <row r="202" spans="2:14">
      <c r="B202" s="34"/>
      <c r="C202" s="20"/>
      <c r="D202" s="21"/>
      <c r="E202" s="38"/>
      <c r="F202" s="21"/>
      <c r="G202" s="21"/>
      <c r="H202" s="21"/>
      <c r="I202" s="34"/>
      <c r="J202" s="22">
        <f t="shared" si="7"/>
        <v>0</v>
      </c>
      <c r="K202" s="22"/>
      <c r="L202" s="24">
        <f t="shared" si="6"/>
        <v>0</v>
      </c>
      <c r="M202" s="25"/>
      <c r="N202" s="31"/>
    </row>
    <row r="203" spans="2:14">
      <c r="B203" s="34"/>
      <c r="C203" s="20"/>
      <c r="D203" s="21"/>
      <c r="E203" s="38"/>
      <c r="F203" s="21"/>
      <c r="G203" s="21"/>
      <c r="H203" s="21"/>
      <c r="I203" s="34"/>
      <c r="J203" s="22">
        <f t="shared" si="7"/>
        <v>0</v>
      </c>
      <c r="K203" s="22"/>
      <c r="L203" s="24">
        <f t="shared" si="6"/>
        <v>0</v>
      </c>
      <c r="M203" s="25"/>
      <c r="N203" s="26"/>
    </row>
    <row r="204" spans="2:14">
      <c r="B204" s="34"/>
      <c r="C204" s="20"/>
      <c r="D204" s="21"/>
      <c r="E204" s="38"/>
      <c r="F204" s="21"/>
      <c r="G204" s="21"/>
      <c r="H204" s="21"/>
      <c r="I204" s="34"/>
      <c r="J204" s="22">
        <f t="shared" si="7"/>
        <v>0</v>
      </c>
      <c r="K204" s="22"/>
      <c r="L204" s="24">
        <f t="shared" ref="L204:L267" si="8">J204-K204</f>
        <v>0</v>
      </c>
      <c r="M204" s="25"/>
      <c r="N204" s="26"/>
    </row>
    <row r="205" spans="2:14">
      <c r="B205" s="34"/>
      <c r="C205" s="20"/>
      <c r="D205" s="21"/>
      <c r="E205" s="38"/>
      <c r="F205" s="21"/>
      <c r="G205" s="21"/>
      <c r="H205" s="21"/>
      <c r="I205" s="34"/>
      <c r="J205" s="22">
        <f t="shared" si="7"/>
        <v>0</v>
      </c>
      <c r="K205" s="22"/>
      <c r="L205" s="24">
        <f t="shared" si="8"/>
        <v>0</v>
      </c>
      <c r="M205" s="25"/>
      <c r="N205" s="26"/>
    </row>
    <row r="206" spans="2:14">
      <c r="B206" s="34"/>
      <c r="C206" s="20"/>
      <c r="D206" s="21"/>
      <c r="E206" s="38"/>
      <c r="F206" s="21"/>
      <c r="G206" s="21"/>
      <c r="H206" s="34"/>
      <c r="I206" s="34"/>
      <c r="J206" s="22">
        <f t="shared" si="7"/>
        <v>0</v>
      </c>
      <c r="K206" s="22"/>
      <c r="L206" s="24">
        <f t="shared" si="8"/>
        <v>0</v>
      </c>
      <c r="M206" s="25"/>
      <c r="N206" s="26"/>
    </row>
    <row r="207" spans="2:14">
      <c r="B207" s="34"/>
      <c r="C207" s="20"/>
      <c r="D207" s="21"/>
      <c r="E207" s="38"/>
      <c r="F207" s="21"/>
      <c r="G207" s="21"/>
      <c r="H207" s="21"/>
      <c r="I207" s="34"/>
      <c r="J207" s="22">
        <f t="shared" ref="J207:J267" si="9">E207</f>
        <v>0</v>
      </c>
      <c r="K207" s="22"/>
      <c r="L207" s="24">
        <f t="shared" si="8"/>
        <v>0</v>
      </c>
      <c r="M207" s="25"/>
      <c r="N207" s="31"/>
    </row>
    <row r="208" spans="2:14">
      <c r="B208" s="34"/>
      <c r="C208" s="20"/>
      <c r="D208" s="21"/>
      <c r="E208" s="38"/>
      <c r="F208" s="21"/>
      <c r="G208" s="21"/>
      <c r="H208" s="21"/>
      <c r="I208" s="34"/>
      <c r="J208" s="22">
        <f t="shared" si="9"/>
        <v>0</v>
      </c>
      <c r="K208" s="22"/>
      <c r="L208" s="24">
        <f t="shared" si="8"/>
        <v>0</v>
      </c>
      <c r="M208" s="25"/>
      <c r="N208" s="31"/>
    </row>
    <row r="209" spans="2:14">
      <c r="B209" s="34"/>
      <c r="C209" s="20"/>
      <c r="D209" s="21"/>
      <c r="E209" s="38"/>
      <c r="F209" s="21"/>
      <c r="G209" s="21"/>
      <c r="H209" s="21"/>
      <c r="I209" s="34"/>
      <c r="J209" s="22">
        <f t="shared" si="9"/>
        <v>0</v>
      </c>
      <c r="K209" s="22"/>
      <c r="L209" s="24">
        <f t="shared" si="8"/>
        <v>0</v>
      </c>
      <c r="M209" s="25"/>
      <c r="N209" s="26"/>
    </row>
    <row r="210" spans="2:14">
      <c r="B210" s="34"/>
      <c r="C210" s="20"/>
      <c r="D210" s="21"/>
      <c r="E210" s="38"/>
      <c r="F210" s="21"/>
      <c r="G210" s="21"/>
      <c r="H210" s="21"/>
      <c r="I210" s="34"/>
      <c r="J210" s="22">
        <f t="shared" si="9"/>
        <v>0</v>
      </c>
      <c r="K210" s="22"/>
      <c r="L210" s="24">
        <f t="shared" si="8"/>
        <v>0</v>
      </c>
      <c r="M210" s="25"/>
      <c r="N210" s="31"/>
    </row>
    <row r="211" spans="2:14">
      <c r="B211" s="34"/>
      <c r="C211" s="20"/>
      <c r="D211" s="21"/>
      <c r="E211" s="38"/>
      <c r="F211" s="21"/>
      <c r="G211" s="21"/>
      <c r="H211" s="21"/>
      <c r="I211" s="34"/>
      <c r="J211" s="22">
        <f t="shared" si="9"/>
        <v>0</v>
      </c>
      <c r="K211" s="22"/>
      <c r="L211" s="24">
        <f t="shared" si="8"/>
        <v>0</v>
      </c>
      <c r="M211" s="25"/>
      <c r="N211" s="31"/>
    </row>
    <row r="212" spans="2:14">
      <c r="B212" s="34"/>
      <c r="C212" s="20"/>
      <c r="D212" s="21"/>
      <c r="E212" s="38"/>
      <c r="F212" s="21"/>
      <c r="G212" s="21"/>
      <c r="H212" s="21"/>
      <c r="I212" s="34"/>
      <c r="J212" s="22">
        <f t="shared" si="9"/>
        <v>0</v>
      </c>
      <c r="K212" s="22"/>
      <c r="L212" s="24">
        <f t="shared" si="8"/>
        <v>0</v>
      </c>
      <c r="M212" s="25"/>
      <c r="N212" s="31"/>
    </row>
    <row r="213" spans="2:14">
      <c r="B213" s="34"/>
      <c r="C213" s="20"/>
      <c r="D213" s="21"/>
      <c r="E213" s="38"/>
      <c r="F213" s="21"/>
      <c r="G213" s="21"/>
      <c r="H213" s="21"/>
      <c r="I213" s="34"/>
      <c r="J213" s="22">
        <f t="shared" si="9"/>
        <v>0</v>
      </c>
      <c r="K213" s="22"/>
      <c r="L213" s="24">
        <f t="shared" si="8"/>
        <v>0</v>
      </c>
      <c r="M213" s="25"/>
      <c r="N213" s="31"/>
    </row>
    <row r="214" spans="2:14">
      <c r="B214" s="34"/>
      <c r="C214" s="20"/>
      <c r="D214" s="21"/>
      <c r="E214" s="38"/>
      <c r="F214" s="21"/>
      <c r="G214" s="21"/>
      <c r="H214" s="21"/>
      <c r="I214" s="34"/>
      <c r="J214" s="22">
        <f t="shared" si="9"/>
        <v>0</v>
      </c>
      <c r="K214" s="22"/>
      <c r="L214" s="24">
        <f t="shared" si="8"/>
        <v>0</v>
      </c>
      <c r="M214" s="25"/>
      <c r="N214" s="31"/>
    </row>
    <row r="215" spans="2:14">
      <c r="B215" s="34"/>
      <c r="C215" s="20"/>
      <c r="D215" s="21"/>
      <c r="E215" s="38"/>
      <c r="F215" s="21"/>
      <c r="G215" s="21"/>
      <c r="H215" s="21"/>
      <c r="I215" s="34"/>
      <c r="J215" s="22">
        <f t="shared" si="9"/>
        <v>0</v>
      </c>
      <c r="K215" s="22"/>
      <c r="L215" s="24">
        <f t="shared" si="8"/>
        <v>0</v>
      </c>
      <c r="M215" s="25"/>
      <c r="N215" s="31"/>
    </row>
    <row r="216" spans="2:14">
      <c r="B216" s="34"/>
      <c r="C216" s="20"/>
      <c r="D216" s="21"/>
      <c r="E216" s="38"/>
      <c r="F216" s="21"/>
      <c r="G216" s="21"/>
      <c r="H216" s="21"/>
      <c r="I216" s="34"/>
      <c r="J216" s="22">
        <f t="shared" si="9"/>
        <v>0</v>
      </c>
      <c r="K216" s="22"/>
      <c r="L216" s="24">
        <f t="shared" si="8"/>
        <v>0</v>
      </c>
      <c r="M216" s="25"/>
      <c r="N216" s="31"/>
    </row>
    <row r="217" spans="2:14">
      <c r="B217" s="34"/>
      <c r="C217" s="20"/>
      <c r="D217" s="21"/>
      <c r="E217" s="38"/>
      <c r="F217" s="21"/>
      <c r="G217" s="21"/>
      <c r="H217" s="21"/>
      <c r="I217" s="34"/>
      <c r="J217" s="22">
        <f t="shared" si="9"/>
        <v>0</v>
      </c>
      <c r="K217" s="22"/>
      <c r="L217" s="24">
        <f t="shared" si="8"/>
        <v>0</v>
      </c>
      <c r="M217" s="25"/>
      <c r="N217" s="31"/>
    </row>
    <row r="218" spans="2:14">
      <c r="B218" s="34"/>
      <c r="C218" s="20"/>
      <c r="D218" s="21"/>
      <c r="E218" s="38"/>
      <c r="F218" s="21"/>
      <c r="G218" s="21"/>
      <c r="H218" s="21"/>
      <c r="I218" s="34"/>
      <c r="J218" s="22">
        <f t="shared" si="9"/>
        <v>0</v>
      </c>
      <c r="K218" s="22"/>
      <c r="L218" s="24">
        <f t="shared" si="8"/>
        <v>0</v>
      </c>
      <c r="M218" s="25"/>
      <c r="N218" s="31"/>
    </row>
    <row r="219" spans="2:14">
      <c r="B219" s="34"/>
      <c r="C219" s="20"/>
      <c r="D219" s="21"/>
      <c r="E219" s="39"/>
      <c r="F219" s="40"/>
      <c r="G219" s="21"/>
      <c r="H219" s="40"/>
      <c r="I219" s="34"/>
      <c r="J219" s="22">
        <f t="shared" si="9"/>
        <v>0</v>
      </c>
      <c r="K219" s="40"/>
      <c r="L219" s="24">
        <f t="shared" si="8"/>
        <v>0</v>
      </c>
      <c r="M219" s="41"/>
      <c r="N219" s="42"/>
    </row>
    <row r="220" spans="2:14">
      <c r="B220" s="34"/>
      <c r="C220" s="20"/>
      <c r="D220" s="21"/>
      <c r="E220" s="39"/>
      <c r="F220" s="40"/>
      <c r="G220" s="21"/>
      <c r="H220" s="40"/>
      <c r="I220" s="34"/>
      <c r="J220" s="22">
        <f t="shared" si="9"/>
        <v>0</v>
      </c>
      <c r="K220" s="40"/>
      <c r="L220" s="24">
        <f t="shared" si="8"/>
        <v>0</v>
      </c>
      <c r="M220" s="41"/>
      <c r="N220" s="42"/>
    </row>
    <row r="221" spans="2:14">
      <c r="B221" s="34"/>
      <c r="C221" s="20"/>
      <c r="D221" s="40"/>
      <c r="E221" s="39"/>
      <c r="F221" s="21"/>
      <c r="G221" s="21"/>
      <c r="H221" s="40"/>
      <c r="I221" s="34"/>
      <c r="J221" s="22">
        <f t="shared" si="9"/>
        <v>0</v>
      </c>
      <c r="K221" s="40"/>
      <c r="L221" s="24">
        <f t="shared" si="8"/>
        <v>0</v>
      </c>
      <c r="M221" s="41"/>
      <c r="N221" s="42"/>
    </row>
    <row r="222" spans="2:14">
      <c r="B222" s="34"/>
      <c r="C222" s="20"/>
      <c r="D222" s="21"/>
      <c r="E222" s="38"/>
      <c r="F222" s="21"/>
      <c r="G222" s="21"/>
      <c r="H222" s="21"/>
      <c r="I222" s="34"/>
      <c r="J222" s="22">
        <f t="shared" si="9"/>
        <v>0</v>
      </c>
      <c r="K222" s="22"/>
      <c r="L222" s="24">
        <f t="shared" si="8"/>
        <v>0</v>
      </c>
      <c r="M222" s="25"/>
      <c r="N222" s="31"/>
    </row>
    <row r="223" spans="2:14">
      <c r="B223" s="34"/>
      <c r="C223" s="20"/>
      <c r="D223" s="21"/>
      <c r="E223" s="38"/>
      <c r="F223" s="21"/>
      <c r="G223" s="21"/>
      <c r="H223" s="21"/>
      <c r="I223" s="34"/>
      <c r="J223" s="22">
        <f t="shared" si="9"/>
        <v>0</v>
      </c>
      <c r="K223" s="22"/>
      <c r="L223" s="24">
        <f t="shared" si="8"/>
        <v>0</v>
      </c>
      <c r="M223" s="25"/>
      <c r="N223" s="31"/>
    </row>
    <row r="224" spans="2:14">
      <c r="B224" s="34"/>
      <c r="C224" s="20"/>
      <c r="D224" s="21"/>
      <c r="E224" s="38"/>
      <c r="F224" s="21"/>
      <c r="G224" s="21"/>
      <c r="H224" s="21"/>
      <c r="I224" s="34"/>
      <c r="J224" s="22">
        <f t="shared" si="9"/>
        <v>0</v>
      </c>
      <c r="K224" s="22"/>
      <c r="L224" s="24">
        <f t="shared" si="8"/>
        <v>0</v>
      </c>
      <c r="M224" s="25"/>
      <c r="N224" s="31"/>
    </row>
    <row r="225" spans="2:14">
      <c r="B225" s="34"/>
      <c r="C225" s="20"/>
      <c r="D225" s="21"/>
      <c r="E225" s="38"/>
      <c r="F225" s="21"/>
      <c r="G225" s="21"/>
      <c r="H225" s="21"/>
      <c r="I225" s="34"/>
      <c r="J225" s="22">
        <f t="shared" si="9"/>
        <v>0</v>
      </c>
      <c r="K225" s="22"/>
      <c r="L225" s="24">
        <f t="shared" si="8"/>
        <v>0</v>
      </c>
      <c r="M225" s="25"/>
      <c r="N225" s="24"/>
    </row>
    <row r="226" spans="2:14">
      <c r="B226" s="34"/>
      <c r="C226" s="20"/>
      <c r="D226" s="21"/>
      <c r="E226" s="38"/>
      <c r="F226" s="21"/>
      <c r="G226" s="21"/>
      <c r="H226" s="21"/>
      <c r="I226" s="34"/>
      <c r="J226" s="22">
        <f t="shared" si="9"/>
        <v>0</v>
      </c>
      <c r="K226" s="22"/>
      <c r="L226" s="24">
        <f t="shared" si="8"/>
        <v>0</v>
      </c>
      <c r="M226" s="25"/>
      <c r="N226" s="42"/>
    </row>
    <row r="227" spans="2:14">
      <c r="B227" s="34"/>
      <c r="C227" s="20"/>
      <c r="D227" s="21"/>
      <c r="E227" s="38"/>
      <c r="F227" s="21"/>
      <c r="G227" s="21"/>
      <c r="H227" s="21"/>
      <c r="I227" s="34"/>
      <c r="J227" s="22">
        <f t="shared" si="9"/>
        <v>0</v>
      </c>
      <c r="K227" s="22"/>
      <c r="L227" s="24">
        <f t="shared" si="8"/>
        <v>0</v>
      </c>
      <c r="M227" s="25"/>
      <c r="N227" s="42"/>
    </row>
    <row r="228" spans="2:14">
      <c r="B228" s="34"/>
      <c r="C228" s="20"/>
      <c r="D228" s="21"/>
      <c r="E228" s="38"/>
      <c r="F228" s="21"/>
      <c r="G228" s="21"/>
      <c r="H228" s="21"/>
      <c r="I228" s="34"/>
      <c r="J228" s="22">
        <f t="shared" si="9"/>
        <v>0</v>
      </c>
      <c r="K228" s="22"/>
      <c r="L228" s="24">
        <f t="shared" si="8"/>
        <v>0</v>
      </c>
      <c r="M228" s="25"/>
      <c r="N228" s="31"/>
    </row>
    <row r="229" spans="2:14">
      <c r="B229" s="34"/>
      <c r="C229" s="20"/>
      <c r="D229" s="21"/>
      <c r="E229" s="38"/>
      <c r="F229" s="21"/>
      <c r="G229" s="21"/>
      <c r="H229" s="21"/>
      <c r="I229" s="34"/>
      <c r="J229" s="22">
        <f t="shared" si="9"/>
        <v>0</v>
      </c>
      <c r="K229" s="22"/>
      <c r="L229" s="24">
        <f t="shared" si="8"/>
        <v>0</v>
      </c>
      <c r="M229" s="25"/>
      <c r="N229" s="31"/>
    </row>
    <row r="230" spans="2:14">
      <c r="B230" s="34"/>
      <c r="C230" s="20"/>
      <c r="D230" s="21"/>
      <c r="E230" s="38"/>
      <c r="F230" s="21"/>
      <c r="G230" s="21"/>
      <c r="H230" s="21"/>
      <c r="I230" s="21"/>
      <c r="J230" s="22">
        <f t="shared" si="9"/>
        <v>0</v>
      </c>
      <c r="K230" s="22"/>
      <c r="L230" s="24">
        <f t="shared" si="8"/>
        <v>0</v>
      </c>
      <c r="M230" s="25"/>
      <c r="N230" s="31"/>
    </row>
    <row r="231" spans="2:14">
      <c r="B231" s="34"/>
      <c r="C231" s="20"/>
      <c r="D231" s="21"/>
      <c r="E231" s="38"/>
      <c r="F231" s="21"/>
      <c r="G231" s="21"/>
      <c r="H231" s="21"/>
      <c r="I231" s="21"/>
      <c r="J231" s="22">
        <f t="shared" si="9"/>
        <v>0</v>
      </c>
      <c r="K231" s="22"/>
      <c r="L231" s="24">
        <f t="shared" si="8"/>
        <v>0</v>
      </c>
      <c r="M231" s="25"/>
      <c r="N231" s="24"/>
    </row>
    <row r="232" spans="2:14">
      <c r="B232" s="34"/>
      <c r="C232" s="20"/>
      <c r="D232" s="21"/>
      <c r="E232" s="38"/>
      <c r="F232" s="21"/>
      <c r="G232" s="21"/>
      <c r="H232" s="21"/>
      <c r="I232" s="21"/>
      <c r="J232" s="22">
        <f t="shared" si="9"/>
        <v>0</v>
      </c>
      <c r="K232" s="22"/>
      <c r="L232" s="24">
        <f t="shared" si="8"/>
        <v>0</v>
      </c>
      <c r="M232" s="25"/>
      <c r="N232" s="24"/>
    </row>
    <row r="233" spans="2:14">
      <c r="B233" s="34"/>
      <c r="C233" s="20"/>
      <c r="D233" s="21"/>
      <c r="E233" s="38"/>
      <c r="F233" s="21"/>
      <c r="G233" s="21"/>
      <c r="H233" s="21"/>
      <c r="I233" s="21"/>
      <c r="J233" s="22">
        <f t="shared" si="9"/>
        <v>0</v>
      </c>
      <c r="K233" s="22"/>
      <c r="L233" s="24">
        <f t="shared" si="8"/>
        <v>0</v>
      </c>
      <c r="M233" s="25"/>
      <c r="N233" s="24"/>
    </row>
    <row r="234" spans="2:14">
      <c r="B234" s="34"/>
      <c r="C234" s="20"/>
      <c r="D234" s="21"/>
      <c r="E234" s="38"/>
      <c r="F234" s="21"/>
      <c r="G234" s="21"/>
      <c r="H234" s="21"/>
      <c r="I234" s="21"/>
      <c r="J234" s="22">
        <f t="shared" si="9"/>
        <v>0</v>
      </c>
      <c r="K234" s="22"/>
      <c r="L234" s="24">
        <f t="shared" si="8"/>
        <v>0</v>
      </c>
      <c r="M234" s="25"/>
      <c r="N234" s="31"/>
    </row>
    <row r="235" spans="2:14">
      <c r="B235" s="34"/>
      <c r="C235" s="20"/>
      <c r="D235" s="21"/>
      <c r="E235" s="38"/>
      <c r="F235" s="21"/>
      <c r="G235" s="21"/>
      <c r="H235" s="21"/>
      <c r="I235" s="21"/>
      <c r="J235" s="22">
        <f t="shared" si="9"/>
        <v>0</v>
      </c>
      <c r="K235" s="22"/>
      <c r="L235" s="24">
        <f t="shared" si="8"/>
        <v>0</v>
      </c>
      <c r="M235" s="25"/>
      <c r="N235" s="24"/>
    </row>
    <row r="236" spans="2:14">
      <c r="B236" s="34"/>
      <c r="C236" s="20"/>
      <c r="D236" s="21"/>
      <c r="E236" s="38"/>
      <c r="F236" s="21"/>
      <c r="G236" s="21"/>
      <c r="H236" s="21"/>
      <c r="I236" s="21"/>
      <c r="J236" s="22">
        <f t="shared" si="9"/>
        <v>0</v>
      </c>
      <c r="K236" s="22"/>
      <c r="L236" s="24">
        <f t="shared" si="8"/>
        <v>0</v>
      </c>
      <c r="M236" s="25"/>
      <c r="N236" s="24"/>
    </row>
    <row r="237" spans="2:14">
      <c r="B237" s="34"/>
      <c r="C237" s="20"/>
      <c r="D237" s="21"/>
      <c r="E237" s="38"/>
      <c r="F237" s="21"/>
      <c r="G237" s="21"/>
      <c r="H237" s="21"/>
      <c r="I237" s="21"/>
      <c r="J237" s="22">
        <f t="shared" si="9"/>
        <v>0</v>
      </c>
      <c r="K237" s="22"/>
      <c r="L237" s="24">
        <f t="shared" si="8"/>
        <v>0</v>
      </c>
      <c r="M237" s="25"/>
      <c r="N237" s="24"/>
    </row>
    <row r="238" spans="2:14">
      <c r="B238" s="34"/>
      <c r="C238" s="20"/>
      <c r="D238" s="21"/>
      <c r="E238" s="38"/>
      <c r="F238" s="21"/>
      <c r="G238" s="21"/>
      <c r="H238" s="21"/>
      <c r="I238" s="21"/>
      <c r="J238" s="22">
        <f t="shared" si="9"/>
        <v>0</v>
      </c>
      <c r="K238" s="22"/>
      <c r="L238" s="24">
        <f t="shared" si="8"/>
        <v>0</v>
      </c>
      <c r="M238" s="25"/>
      <c r="N238" s="24"/>
    </row>
    <row r="239" spans="2:14">
      <c r="B239" s="34"/>
      <c r="C239" s="20"/>
      <c r="D239" s="21"/>
      <c r="E239" s="38"/>
      <c r="F239" s="21"/>
      <c r="G239" s="21"/>
      <c r="H239" s="21"/>
      <c r="I239" s="21"/>
      <c r="J239" s="22">
        <f t="shared" si="9"/>
        <v>0</v>
      </c>
      <c r="K239" s="22"/>
      <c r="L239" s="24">
        <f t="shared" si="8"/>
        <v>0</v>
      </c>
      <c r="M239" s="25"/>
      <c r="N239" s="24"/>
    </row>
    <row r="240" spans="2:14">
      <c r="B240" s="34"/>
      <c r="C240" s="20"/>
      <c r="D240" s="21"/>
      <c r="E240" s="38"/>
      <c r="F240" s="21"/>
      <c r="G240" s="21"/>
      <c r="H240" s="21"/>
      <c r="I240" s="21"/>
      <c r="J240" s="22">
        <f t="shared" si="9"/>
        <v>0</v>
      </c>
      <c r="K240" s="22"/>
      <c r="L240" s="24">
        <f t="shared" si="8"/>
        <v>0</v>
      </c>
      <c r="M240" s="25"/>
      <c r="N240" s="24"/>
    </row>
    <row r="241" spans="2:14">
      <c r="B241" s="34"/>
      <c r="C241" s="20"/>
      <c r="D241" s="21"/>
      <c r="E241" s="38"/>
      <c r="F241" s="21"/>
      <c r="G241" s="21"/>
      <c r="H241" s="21"/>
      <c r="I241" s="21"/>
      <c r="J241" s="22">
        <f t="shared" si="9"/>
        <v>0</v>
      </c>
      <c r="K241" s="22"/>
      <c r="L241" s="24">
        <f t="shared" si="8"/>
        <v>0</v>
      </c>
      <c r="M241" s="25"/>
      <c r="N241" s="24"/>
    </row>
    <row r="242" spans="2:14">
      <c r="B242" s="34"/>
      <c r="C242" s="20"/>
      <c r="D242" s="21"/>
      <c r="E242" s="38"/>
      <c r="F242" s="21"/>
      <c r="G242" s="21"/>
      <c r="H242" s="21"/>
      <c r="I242" s="21"/>
      <c r="J242" s="22">
        <f t="shared" si="9"/>
        <v>0</v>
      </c>
      <c r="K242" s="22"/>
      <c r="L242" s="24">
        <f t="shared" si="8"/>
        <v>0</v>
      </c>
      <c r="M242" s="25"/>
      <c r="N242" s="24"/>
    </row>
    <row r="243" spans="2:14">
      <c r="B243" s="34"/>
      <c r="C243" s="20"/>
      <c r="D243" s="21"/>
      <c r="E243" s="38"/>
      <c r="F243" s="21"/>
      <c r="G243" s="21"/>
      <c r="H243" s="21"/>
      <c r="I243" s="21"/>
      <c r="J243" s="22">
        <f t="shared" si="9"/>
        <v>0</v>
      </c>
      <c r="K243" s="22"/>
      <c r="L243" s="24">
        <f t="shared" si="8"/>
        <v>0</v>
      </c>
      <c r="M243" s="25"/>
      <c r="N243" s="24"/>
    </row>
    <row r="244" spans="2:14">
      <c r="B244" s="34"/>
      <c r="C244" s="20"/>
      <c r="D244" s="21"/>
      <c r="E244" s="38"/>
      <c r="F244" s="21"/>
      <c r="G244" s="21"/>
      <c r="H244" s="21"/>
      <c r="I244" s="21"/>
      <c r="J244" s="22">
        <f t="shared" si="9"/>
        <v>0</v>
      </c>
      <c r="K244" s="22"/>
      <c r="L244" s="24">
        <f t="shared" si="8"/>
        <v>0</v>
      </c>
      <c r="M244" s="25"/>
      <c r="N244" s="24"/>
    </row>
    <row r="245" spans="2:14">
      <c r="B245" s="34"/>
      <c r="C245" s="20"/>
      <c r="D245" s="21"/>
      <c r="E245" s="38"/>
      <c r="F245" s="21"/>
      <c r="G245" s="21"/>
      <c r="H245" s="21"/>
      <c r="I245" s="21"/>
      <c r="J245" s="22">
        <f t="shared" si="9"/>
        <v>0</v>
      </c>
      <c r="K245" s="22"/>
      <c r="L245" s="24">
        <f t="shared" si="8"/>
        <v>0</v>
      </c>
      <c r="M245" s="25"/>
      <c r="N245" s="24"/>
    </row>
    <row r="246" spans="2:14">
      <c r="B246" s="34"/>
      <c r="C246" s="20"/>
      <c r="D246" s="21"/>
      <c r="E246" s="38"/>
      <c r="F246" s="21"/>
      <c r="G246" s="21"/>
      <c r="H246" s="21"/>
      <c r="I246" s="21"/>
      <c r="J246" s="22">
        <f t="shared" si="9"/>
        <v>0</v>
      </c>
      <c r="K246" s="22"/>
      <c r="L246" s="24">
        <f t="shared" si="8"/>
        <v>0</v>
      </c>
      <c r="M246" s="25"/>
      <c r="N246" s="24"/>
    </row>
    <row r="247" spans="2:14">
      <c r="B247" s="34"/>
      <c r="C247" s="20"/>
      <c r="D247" s="21"/>
      <c r="E247" s="38"/>
      <c r="F247" s="21"/>
      <c r="G247" s="21"/>
      <c r="H247" s="21"/>
      <c r="I247" s="21"/>
      <c r="J247" s="22">
        <f t="shared" si="9"/>
        <v>0</v>
      </c>
      <c r="K247" s="22"/>
      <c r="L247" s="24">
        <f t="shared" si="8"/>
        <v>0</v>
      </c>
      <c r="M247" s="25"/>
      <c r="N247" s="24"/>
    </row>
    <row r="248" spans="2:14">
      <c r="B248" s="34"/>
      <c r="C248" s="20"/>
      <c r="D248" s="21"/>
      <c r="E248" s="38"/>
      <c r="F248" s="21"/>
      <c r="G248" s="21"/>
      <c r="H248" s="21"/>
      <c r="I248" s="21"/>
      <c r="J248" s="22">
        <f t="shared" si="9"/>
        <v>0</v>
      </c>
      <c r="K248" s="22"/>
      <c r="L248" s="24">
        <f t="shared" si="8"/>
        <v>0</v>
      </c>
      <c r="M248" s="25"/>
      <c r="N248" s="24"/>
    </row>
    <row r="249" spans="2:14">
      <c r="B249" s="34"/>
      <c r="C249" s="20"/>
      <c r="D249" s="21"/>
      <c r="E249" s="38"/>
      <c r="F249" s="21"/>
      <c r="G249" s="21"/>
      <c r="H249" s="21"/>
      <c r="I249" s="21"/>
      <c r="J249" s="22">
        <f t="shared" si="9"/>
        <v>0</v>
      </c>
      <c r="K249" s="22"/>
      <c r="L249" s="24">
        <f t="shared" si="8"/>
        <v>0</v>
      </c>
      <c r="M249" s="25"/>
      <c r="N249" s="24"/>
    </row>
    <row r="250" spans="2:14">
      <c r="B250" s="34"/>
      <c r="C250" s="20"/>
      <c r="D250" s="21"/>
      <c r="E250" s="38"/>
      <c r="F250" s="21"/>
      <c r="G250" s="21"/>
      <c r="H250" s="21"/>
      <c r="I250" s="21"/>
      <c r="J250" s="22">
        <f t="shared" si="9"/>
        <v>0</v>
      </c>
      <c r="K250" s="22"/>
      <c r="L250" s="24">
        <f t="shared" si="8"/>
        <v>0</v>
      </c>
      <c r="M250" s="25"/>
      <c r="N250" s="24"/>
    </row>
    <row r="251" spans="2:14">
      <c r="B251" s="34"/>
      <c r="C251" s="20"/>
      <c r="D251" s="21"/>
      <c r="E251" s="38"/>
      <c r="F251" s="21"/>
      <c r="G251" s="21"/>
      <c r="H251" s="21"/>
      <c r="I251" s="21"/>
      <c r="J251" s="22">
        <f t="shared" si="9"/>
        <v>0</v>
      </c>
      <c r="K251" s="22"/>
      <c r="L251" s="24">
        <f t="shared" si="8"/>
        <v>0</v>
      </c>
      <c r="M251" s="25"/>
      <c r="N251" s="24"/>
    </row>
    <row r="252" spans="2:14">
      <c r="B252" s="34"/>
      <c r="C252" s="20"/>
      <c r="D252" s="21"/>
      <c r="E252" s="38"/>
      <c r="F252" s="21"/>
      <c r="G252" s="21"/>
      <c r="H252" s="21"/>
      <c r="I252" s="21"/>
      <c r="J252" s="22">
        <f t="shared" si="9"/>
        <v>0</v>
      </c>
      <c r="K252" s="22"/>
      <c r="L252" s="24">
        <f t="shared" si="8"/>
        <v>0</v>
      </c>
      <c r="M252" s="25"/>
      <c r="N252" s="24"/>
    </row>
    <row r="253" spans="2:14">
      <c r="B253" s="34"/>
      <c r="C253" s="20"/>
      <c r="D253" s="21"/>
      <c r="E253" s="38"/>
      <c r="F253" s="21"/>
      <c r="G253" s="21"/>
      <c r="H253" s="21"/>
      <c r="I253" s="21"/>
      <c r="J253" s="22">
        <f t="shared" si="9"/>
        <v>0</v>
      </c>
      <c r="K253" s="22"/>
      <c r="L253" s="24">
        <f t="shared" si="8"/>
        <v>0</v>
      </c>
      <c r="M253" s="25"/>
      <c r="N253" s="24"/>
    </row>
    <row r="254" spans="2:14">
      <c r="B254" s="34"/>
      <c r="C254" s="20"/>
      <c r="D254" s="21"/>
      <c r="E254" s="38"/>
      <c r="F254" s="21"/>
      <c r="G254" s="21"/>
      <c r="H254" s="21"/>
      <c r="I254" s="21"/>
      <c r="J254" s="22">
        <f t="shared" si="9"/>
        <v>0</v>
      </c>
      <c r="K254" s="22"/>
      <c r="L254" s="24">
        <f t="shared" si="8"/>
        <v>0</v>
      </c>
      <c r="M254" s="25"/>
      <c r="N254" s="24"/>
    </row>
    <row r="255" spans="2:14">
      <c r="B255" s="34"/>
      <c r="C255" s="20"/>
      <c r="D255" s="21"/>
      <c r="E255" s="38"/>
      <c r="F255" s="21"/>
      <c r="G255" s="21"/>
      <c r="H255" s="21"/>
      <c r="I255" s="21"/>
      <c r="J255" s="22">
        <f t="shared" si="9"/>
        <v>0</v>
      </c>
      <c r="K255" s="22"/>
      <c r="L255" s="24">
        <f t="shared" si="8"/>
        <v>0</v>
      </c>
      <c r="M255" s="25"/>
      <c r="N255" s="24"/>
    </row>
    <row r="256" spans="2:14">
      <c r="B256" s="34"/>
      <c r="C256" s="20"/>
      <c r="D256" s="21"/>
      <c r="E256" s="38"/>
      <c r="F256" s="21"/>
      <c r="G256" s="21"/>
      <c r="H256" s="21"/>
      <c r="I256" s="21"/>
      <c r="J256" s="22">
        <f t="shared" si="9"/>
        <v>0</v>
      </c>
      <c r="K256" s="22"/>
      <c r="L256" s="24">
        <f t="shared" si="8"/>
        <v>0</v>
      </c>
      <c r="M256" s="25"/>
      <c r="N256" s="24"/>
    </row>
    <row r="257" spans="2:14">
      <c r="B257" s="34"/>
      <c r="C257" s="20"/>
      <c r="D257" s="21"/>
      <c r="E257" s="38"/>
      <c r="F257" s="21"/>
      <c r="G257" s="21"/>
      <c r="H257" s="21"/>
      <c r="I257" s="21"/>
      <c r="J257" s="22">
        <f t="shared" si="9"/>
        <v>0</v>
      </c>
      <c r="K257" s="22"/>
      <c r="L257" s="24">
        <f t="shared" si="8"/>
        <v>0</v>
      </c>
      <c r="M257" s="25"/>
      <c r="N257" s="24"/>
    </row>
    <row r="258" spans="2:14">
      <c r="B258" s="34"/>
      <c r="C258" s="20"/>
      <c r="D258" s="21"/>
      <c r="E258" s="38"/>
      <c r="F258" s="21"/>
      <c r="G258" s="21"/>
      <c r="H258" s="21"/>
      <c r="I258" s="21"/>
      <c r="J258" s="22">
        <f t="shared" si="9"/>
        <v>0</v>
      </c>
      <c r="K258" s="22"/>
      <c r="L258" s="24">
        <f t="shared" si="8"/>
        <v>0</v>
      </c>
      <c r="M258" s="25"/>
      <c r="N258" s="24"/>
    </row>
    <row r="259" spans="2:14">
      <c r="B259" s="34"/>
      <c r="C259" s="20"/>
      <c r="D259" s="21"/>
      <c r="E259" s="38"/>
      <c r="F259" s="21"/>
      <c r="G259" s="21"/>
      <c r="H259" s="21"/>
      <c r="I259" s="21"/>
      <c r="J259" s="22">
        <f t="shared" si="9"/>
        <v>0</v>
      </c>
      <c r="K259" s="22"/>
      <c r="L259" s="43">
        <f t="shared" si="8"/>
        <v>0</v>
      </c>
      <c r="M259" s="25"/>
      <c r="N259" s="24"/>
    </row>
    <row r="260" spans="2:14">
      <c r="B260" s="34"/>
      <c r="C260" s="20"/>
      <c r="D260" s="21"/>
      <c r="E260" s="38"/>
      <c r="F260" s="21"/>
      <c r="G260" s="21"/>
      <c r="H260" s="21"/>
      <c r="I260" s="21"/>
      <c r="J260" s="22">
        <f t="shared" si="9"/>
        <v>0</v>
      </c>
      <c r="K260" s="22"/>
      <c r="L260" s="43">
        <f t="shared" si="8"/>
        <v>0</v>
      </c>
      <c r="M260" s="25"/>
      <c r="N260" s="24"/>
    </row>
    <row r="261" spans="2:14">
      <c r="B261" s="34"/>
      <c r="C261" s="20"/>
      <c r="D261" s="21"/>
      <c r="E261" s="38"/>
      <c r="F261" s="21"/>
      <c r="G261" s="21"/>
      <c r="H261" s="21"/>
      <c r="I261" s="21"/>
      <c r="J261" s="22">
        <f t="shared" si="9"/>
        <v>0</v>
      </c>
      <c r="K261" s="22"/>
      <c r="L261" s="43">
        <f t="shared" si="8"/>
        <v>0</v>
      </c>
      <c r="M261" s="25"/>
      <c r="N261" s="24"/>
    </row>
    <row r="262" spans="2:14">
      <c r="B262" s="34"/>
      <c r="C262" s="20"/>
      <c r="D262" s="21"/>
      <c r="E262" s="38"/>
      <c r="F262" s="21"/>
      <c r="G262" s="21"/>
      <c r="H262" s="21"/>
      <c r="I262" s="21"/>
      <c r="J262" s="22">
        <f t="shared" si="9"/>
        <v>0</v>
      </c>
      <c r="K262" s="22"/>
      <c r="L262" s="43">
        <f t="shared" si="8"/>
        <v>0</v>
      </c>
      <c r="M262" s="25"/>
      <c r="N262" s="24"/>
    </row>
    <row r="263" spans="2:14">
      <c r="B263" s="34"/>
      <c r="C263" s="20"/>
      <c r="D263" s="21"/>
      <c r="E263" s="38"/>
      <c r="F263" s="21"/>
      <c r="G263" s="21"/>
      <c r="H263" s="21"/>
      <c r="I263" s="21"/>
      <c r="J263" s="22">
        <f t="shared" si="9"/>
        <v>0</v>
      </c>
      <c r="K263" s="22"/>
      <c r="L263" s="43">
        <f t="shared" si="8"/>
        <v>0</v>
      </c>
      <c r="M263" s="25"/>
      <c r="N263" s="24"/>
    </row>
    <row r="264" spans="2:14">
      <c r="B264" s="34"/>
      <c r="C264" s="20"/>
      <c r="D264" s="21"/>
      <c r="E264" s="38"/>
      <c r="F264" s="21"/>
      <c r="G264" s="21"/>
      <c r="H264" s="21"/>
      <c r="I264" s="21"/>
      <c r="J264" s="22">
        <f t="shared" si="9"/>
        <v>0</v>
      </c>
      <c r="K264" s="22"/>
      <c r="L264" s="43">
        <f t="shared" si="8"/>
        <v>0</v>
      </c>
      <c r="M264" s="25"/>
      <c r="N264" s="24"/>
    </row>
    <row r="265" spans="2:14">
      <c r="B265" s="34"/>
      <c r="C265" s="20"/>
      <c r="D265" s="21"/>
      <c r="E265" s="38"/>
      <c r="F265" s="21"/>
      <c r="G265" s="21"/>
      <c r="H265" s="21"/>
      <c r="I265" s="21"/>
      <c r="J265" s="22">
        <f t="shared" si="9"/>
        <v>0</v>
      </c>
      <c r="K265" s="22"/>
      <c r="L265" s="43">
        <f t="shared" si="8"/>
        <v>0</v>
      </c>
      <c r="M265" s="25"/>
      <c r="N265" s="24"/>
    </row>
    <row r="266" spans="2:14">
      <c r="B266" s="34"/>
      <c r="C266" s="20"/>
      <c r="D266" s="21"/>
      <c r="E266" s="38"/>
      <c r="F266" s="21"/>
      <c r="G266" s="21"/>
      <c r="H266" s="21"/>
      <c r="I266" s="21"/>
      <c r="J266" s="22">
        <f t="shared" si="9"/>
        <v>0</v>
      </c>
      <c r="K266" s="22"/>
      <c r="L266" s="43">
        <f t="shared" si="8"/>
        <v>0</v>
      </c>
      <c r="M266" s="25"/>
      <c r="N266" s="24"/>
    </row>
    <row r="267" spans="2:14">
      <c r="B267" s="34"/>
      <c r="C267" s="20"/>
      <c r="D267" s="21"/>
      <c r="E267" s="38"/>
      <c r="F267" s="21"/>
      <c r="G267" s="21"/>
      <c r="H267" s="21"/>
      <c r="I267" s="21"/>
      <c r="J267" s="22">
        <f t="shared" si="9"/>
        <v>0</v>
      </c>
      <c r="K267" s="22"/>
      <c r="L267" s="43">
        <f t="shared" si="8"/>
        <v>0</v>
      </c>
      <c r="M267" s="25"/>
      <c r="N267" s="24"/>
    </row>
    <row r="268" spans="2:14">
      <c r="B268" s="34"/>
      <c r="C268" s="20"/>
      <c r="D268" s="21"/>
      <c r="E268" s="38"/>
      <c r="F268" s="21"/>
      <c r="G268" s="21"/>
      <c r="H268" s="21"/>
      <c r="I268" s="21"/>
      <c r="J268" s="22">
        <f t="shared" ref="J268:J270" si="10">E268</f>
        <v>0</v>
      </c>
      <c r="K268" s="22"/>
      <c r="L268" s="43">
        <f>J268-K268</f>
        <v>0</v>
      </c>
      <c r="M268" s="25"/>
      <c r="N268" s="24"/>
    </row>
    <row r="269" spans="2:14">
      <c r="B269" s="34"/>
      <c r="C269" s="20"/>
      <c r="D269" s="21"/>
      <c r="E269" s="38"/>
      <c r="F269" s="21"/>
      <c r="G269" s="21"/>
      <c r="H269" s="21"/>
      <c r="I269" s="21"/>
      <c r="J269" s="22">
        <f t="shared" si="10"/>
        <v>0</v>
      </c>
      <c r="K269" s="22"/>
      <c r="L269" s="43">
        <f>J269-K269</f>
        <v>0</v>
      </c>
      <c r="M269" s="25"/>
      <c r="N269" s="24"/>
    </row>
    <row r="270" spans="2:14">
      <c r="B270" s="44"/>
      <c r="C270" s="20"/>
      <c r="D270" s="21"/>
      <c r="E270" s="38"/>
      <c r="F270" s="21"/>
      <c r="G270" s="21"/>
      <c r="H270" s="21"/>
      <c r="I270" s="19"/>
      <c r="J270" s="22">
        <f t="shared" si="10"/>
        <v>0</v>
      </c>
      <c r="K270" s="22"/>
      <c r="L270" s="43">
        <f>J270-K270</f>
        <v>0</v>
      </c>
      <c r="M270" s="25"/>
      <c r="N270" s="24"/>
    </row>
    <row r="271" spans="2:14">
      <c r="B271" s="45"/>
      <c r="C271" s="46"/>
      <c r="D271" s="47"/>
      <c r="E271" s="48">
        <f>SUM(E8:E270)</f>
        <v>34650.77</v>
      </c>
      <c r="F271" s="45"/>
      <c r="G271" s="49"/>
      <c r="H271" s="50"/>
      <c r="I271" s="51" t="s">
        <v>383</v>
      </c>
      <c r="J271" s="52">
        <f>SUBTOTAL(9,J8:J270)</f>
        <v>34650.76</v>
      </c>
      <c r="K271" s="52">
        <f>SUBTOTAL(9,K8:K270)</f>
        <v>34650.67</v>
      </c>
      <c r="L271" s="53">
        <f>J271-K271</f>
        <v>0.0900000000110595</v>
      </c>
      <c r="M271" s="54"/>
      <c r="N271" s="53"/>
    </row>
    <row r="1048570" spans="2:7">
      <c r="B1048570" s="55"/>
    </row>
    <row r="1048574" spans="2:7">
      <c r="G1048574" s="23"/>
    </row>
  </sheetData>
  <autoFilter xmlns:etc="http://www.wps.cn/officeDocument/2017/etCustomData" ref="B6:N270" etc:filterBottomFollowUsedRange="0">
    <extLst/>
  </autoFilter>
  <mergeCells count="12">
    <mergeCell ref="B2:L2"/>
    <mergeCell ref="C4:D4"/>
    <mergeCell ref="G6:J6"/>
    <mergeCell ref="B6:B7"/>
    <mergeCell ref="C6:C7"/>
    <mergeCell ref="D6:D7"/>
    <mergeCell ref="E6:E7"/>
    <mergeCell ref="F6:F7"/>
    <mergeCell ref="K6:K7"/>
    <mergeCell ref="L6:L7"/>
    <mergeCell ref="M6:M7"/>
    <mergeCell ref="N6:N7"/>
  </mergeCells>
  <pageMargins left="0.7" right="0.7" top="0.75" bottom="0.75" header="0.3" footer="0.3"/>
  <pageSetup paperSize="1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Contabilidad-01</dc:creator>
  <cp:lastModifiedBy>Marko Jurado</cp:lastModifiedBy>
  <dcterms:created xsi:type="dcterms:W3CDTF">2023-03-07T20:17:00Z</dcterms:created>
  <dcterms:modified xsi:type="dcterms:W3CDTF">2026-08-13T22:15:29Z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9630712BCA024B2A8C224D2FBAAE938C_13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